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GIOVANNY_TODO\SKETCHS\STM32\STM32F051C8T6\MIS PROYECTOS\PORTABLE DIGITAL SOURCE V1.3 DMA\"/>
    </mc:Choice>
  </mc:AlternateContent>
  <bookViews>
    <workbookView xWindow="-120" yWindow="-120" windowWidth="29040" windowHeight="1584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7" i="1" l="1"/>
  <c r="I28" i="1" s="1"/>
  <c r="I26" i="1"/>
  <c r="K30" i="1" l="1"/>
  <c r="K31" i="1" s="1"/>
  <c r="I30" i="1"/>
  <c r="G204" i="1"/>
  <c r="H204" i="1" s="1"/>
  <c r="J204" i="1" s="1"/>
  <c r="G175" i="1"/>
  <c r="H175" i="1" s="1"/>
  <c r="J175" i="1" s="1"/>
  <c r="G176" i="1"/>
  <c r="H176" i="1" s="1"/>
  <c r="J176" i="1" s="1"/>
  <c r="G177" i="1"/>
  <c r="H177" i="1" s="1"/>
  <c r="J177" i="1" s="1"/>
  <c r="G178" i="1"/>
  <c r="H178" i="1" s="1"/>
  <c r="J178" i="1" s="1"/>
  <c r="G179" i="1"/>
  <c r="H179" i="1" s="1"/>
  <c r="J179" i="1" s="1"/>
  <c r="G180" i="1"/>
  <c r="H180" i="1" s="1"/>
  <c r="J180" i="1" s="1"/>
  <c r="G181" i="1"/>
  <c r="H181" i="1" s="1"/>
  <c r="J181" i="1" s="1"/>
  <c r="G182" i="1"/>
  <c r="H182" i="1" s="1"/>
  <c r="J182" i="1" s="1"/>
  <c r="G183" i="1"/>
  <c r="H183" i="1" s="1"/>
  <c r="J183" i="1" s="1"/>
  <c r="G184" i="1"/>
  <c r="H184" i="1" s="1"/>
  <c r="J184" i="1" s="1"/>
  <c r="G185" i="1"/>
  <c r="H185" i="1" s="1"/>
  <c r="J185" i="1" s="1"/>
  <c r="G186" i="1"/>
  <c r="H186" i="1" s="1"/>
  <c r="J186" i="1" s="1"/>
  <c r="G187" i="1"/>
  <c r="H187" i="1" s="1"/>
  <c r="J187" i="1" s="1"/>
  <c r="G188" i="1"/>
  <c r="H188" i="1" s="1"/>
  <c r="J188" i="1" s="1"/>
  <c r="G189" i="1"/>
  <c r="H189" i="1" s="1"/>
  <c r="J189" i="1" s="1"/>
  <c r="G190" i="1"/>
  <c r="H190" i="1" s="1"/>
  <c r="J190" i="1" s="1"/>
  <c r="G191" i="1"/>
  <c r="H191" i="1" s="1"/>
  <c r="J191" i="1" s="1"/>
  <c r="G192" i="1"/>
  <c r="H192" i="1" s="1"/>
  <c r="J192" i="1" s="1"/>
  <c r="G193" i="1"/>
  <c r="H193" i="1" s="1"/>
  <c r="J193" i="1" s="1"/>
  <c r="G194" i="1"/>
  <c r="H194" i="1" s="1"/>
  <c r="J194" i="1" s="1"/>
  <c r="G195" i="1"/>
  <c r="H195" i="1" s="1"/>
  <c r="J195" i="1" s="1"/>
  <c r="G196" i="1"/>
  <c r="H196" i="1" s="1"/>
  <c r="J196" i="1" s="1"/>
  <c r="G197" i="1"/>
  <c r="H197" i="1" s="1"/>
  <c r="J197" i="1" s="1"/>
  <c r="G198" i="1"/>
  <c r="H198" i="1" s="1"/>
  <c r="J198" i="1" s="1"/>
  <c r="G199" i="1"/>
  <c r="H199" i="1" s="1"/>
  <c r="J199" i="1" s="1"/>
  <c r="G200" i="1"/>
  <c r="H200" i="1" s="1"/>
  <c r="J200" i="1" s="1"/>
  <c r="G201" i="1"/>
  <c r="H201" i="1" s="1"/>
  <c r="J201" i="1" s="1"/>
  <c r="G202" i="1"/>
  <c r="H202" i="1" s="1"/>
  <c r="J202" i="1" s="1"/>
  <c r="G203" i="1"/>
  <c r="H203" i="1" s="1"/>
  <c r="J203" i="1" s="1"/>
  <c r="G174" i="1"/>
  <c r="H174" i="1" s="1"/>
  <c r="J174" i="1" s="1"/>
  <c r="B177" i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201" i="1" s="1"/>
  <c r="B202" i="1" s="1"/>
  <c r="B203" i="1" s="1"/>
  <c r="B204" i="1" s="1"/>
  <c r="K20" i="1" l="1"/>
  <c r="K19" i="1"/>
  <c r="I31" i="1"/>
  <c r="E178" i="1" l="1"/>
  <c r="E177" i="1"/>
  <c r="E176" i="1"/>
  <c r="E174" i="1"/>
  <c r="E175" i="1"/>
  <c r="E179" i="1" l="1"/>
  <c r="E180" i="1" l="1"/>
  <c r="E181" i="1" l="1"/>
  <c r="E182" i="1" l="1"/>
  <c r="E183" i="1" l="1"/>
  <c r="E184" i="1" l="1"/>
  <c r="E185" i="1" l="1"/>
  <c r="E186" i="1" l="1"/>
  <c r="E187" i="1" l="1"/>
  <c r="E188" i="1" l="1"/>
  <c r="E189" i="1" l="1"/>
  <c r="E190" i="1" l="1"/>
  <c r="E191" i="1" l="1"/>
  <c r="E192" i="1" l="1"/>
  <c r="E193" i="1" l="1"/>
  <c r="E194" i="1" l="1"/>
  <c r="E195" i="1" l="1"/>
  <c r="E196" i="1" l="1"/>
  <c r="E197" i="1" l="1"/>
  <c r="E198" i="1" l="1"/>
  <c r="E199" i="1" l="1"/>
  <c r="E200" i="1" l="1"/>
  <c r="E201" i="1" l="1"/>
  <c r="E202" i="1" l="1"/>
  <c r="E204" i="1" l="1"/>
  <c r="E203" i="1"/>
</calcChain>
</file>

<file path=xl/sharedStrings.xml><?xml version="1.0" encoding="utf-8"?>
<sst xmlns="http://schemas.openxmlformats.org/spreadsheetml/2006/main" count="28" uniqueCount="26">
  <si>
    <t>Vref</t>
  </si>
  <si>
    <t>I1</t>
  </si>
  <si>
    <t>Rpull-down Ω</t>
  </si>
  <si>
    <t>R1 Ω</t>
  </si>
  <si>
    <t>R3 Ω</t>
  </si>
  <si>
    <t>R2 Ω</t>
  </si>
  <si>
    <t>-</t>
  </si>
  <si>
    <t>VOUT OLED</t>
  </si>
  <si>
    <t>Hacer mediciones de "dac_12bits" para cada salida de voltaje (VOUT OLED), descomentar linea 1057</t>
  </si>
  <si>
    <t>DDDAAACCC</t>
  </si>
  <si>
    <t>dac_12bits</t>
  </si>
  <si>
    <t>dac_12bits es valor que deberia tener el ADC, es el valor que oscila en el oled y con cada voltaje ver su valor exacto y anotar</t>
  </si>
  <si>
    <t>A CORREGIR</t>
  </si>
  <si>
    <t>CORREG. FORMULA</t>
  </si>
  <si>
    <t>dac_12bits - CORREG. FORMULA</t>
  </si>
  <si>
    <t>DDDAAACCC es valor de ADC 0-4096 para cada VOUT OLED, es fijo este valor al descomentar la linea 1057 se ve y anotar en la columna DDDAAACCC</t>
  </si>
  <si>
    <t>DDDAAACCC y dac_12bits copiar y decirle a chatpgt que te la formula para corregir los valores:   =0.978 * DDDAAACCC + 30.54</t>
  </si>
  <si>
    <t>Vdac</t>
  </si>
  <si>
    <t>Vdac Min</t>
  </si>
  <si>
    <t>Vadc Max</t>
  </si>
  <si>
    <t>Vout Max</t>
  </si>
  <si>
    <t xml:space="preserve">Vout </t>
  </si>
  <si>
    <t>Vadc  =</t>
  </si>
  <si>
    <t>Vout  =</t>
  </si>
  <si>
    <t>Rango Vout</t>
  </si>
  <si>
    <t>Solo modificar los 3 parametros del cuadro verde y de ahí se obtiene R1 R2 y R3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</si>
</sst>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0"/>
    <numFmt numFmtId="165" formatCode="0.00\V"/>
  </numFmts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theme="0" tint="-0.14999847407452621"/>
      </patternFill>
    </fill>
    <fill>
      <patternFill patternType="solid">
        <fgColor rgb="FF00B050"/>
        <bgColor theme="0" tint="-0.14999847407452621"/>
      </patternFill>
    </fill>
    <fill>
      <patternFill patternType="solid">
        <fgColor rgb="FF00B050"/>
        <bgColor indexed="64"/>
      </patternFill>
    </fill>
    <fill>
      <patternFill patternType="solid">
        <fgColor theme="4" tint="-0.249977111117893"/>
        <bgColor theme="0" tint="-0.14999847407452621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2" borderId="2" xfId="0" applyFont="1" applyFill="1" applyBorder="1"/>
    <xf numFmtId="0" fontId="0" fillId="0" borderId="0" xfId="0" applyFill="1" applyBorder="1"/>
    <xf numFmtId="0" fontId="1" fillId="0" borderId="0" xfId="0" applyFont="1" applyFill="1" applyBorder="1"/>
    <xf numFmtId="0" fontId="0" fillId="0" borderId="0" xfId="0" applyFont="1" applyFill="1" applyBorder="1"/>
    <xf numFmtId="1" fontId="0" fillId="0" borderId="0" xfId="0" applyNumberFormat="1" applyFont="1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0" xfId="0" applyFill="1" applyAlignment="1">
      <alignment horizontal="center"/>
    </xf>
    <xf numFmtId="0" fontId="0" fillId="6" borderId="0" xfId="0" applyFill="1"/>
    <xf numFmtId="0" fontId="0" fillId="7" borderId="0" xfId="0" applyFill="1" applyBorder="1"/>
    <xf numFmtId="0" fontId="0" fillId="7" borderId="0" xfId="0" applyFill="1" applyAlignment="1">
      <alignment horizontal="center"/>
    </xf>
    <xf numFmtId="0" fontId="0" fillId="7" borderId="0" xfId="0" applyFill="1"/>
    <xf numFmtId="164" fontId="0" fillId="7" borderId="0" xfId="0" applyNumberFormat="1" applyFill="1"/>
    <xf numFmtId="0" fontId="0" fillId="0" borderId="0" xfId="0" applyFill="1"/>
    <xf numFmtId="0" fontId="0" fillId="0" borderId="0" xfId="0" applyNumberFormat="1" applyFill="1" applyBorder="1"/>
    <xf numFmtId="0" fontId="0" fillId="0" borderId="0" xfId="0" applyAlignment="1">
      <alignment horizontal="center"/>
    </xf>
    <xf numFmtId="0" fontId="0" fillId="0" borderId="0" xfId="0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0" fillId="0" borderId="0" xfId="0" applyNumberFormat="1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11" fontId="0" fillId="0" borderId="0" xfId="0" applyNumberFormat="1" applyFill="1" applyBorder="1"/>
    <xf numFmtId="0" fontId="1" fillId="11" borderId="2" xfId="0" applyFont="1" applyFill="1" applyBorder="1"/>
    <xf numFmtId="0" fontId="1" fillId="12" borderId="2" xfId="0" applyFont="1" applyFill="1" applyBorder="1"/>
    <xf numFmtId="1" fontId="2" fillId="3" borderId="2" xfId="0" applyNumberFormat="1" applyFont="1" applyFill="1" applyBorder="1"/>
    <xf numFmtId="0" fontId="1" fillId="9" borderId="2" xfId="0" applyFont="1" applyFill="1" applyBorder="1"/>
    <xf numFmtId="1" fontId="1" fillId="8" borderId="2" xfId="0" applyNumberFormat="1" applyFont="1" applyFill="1" applyBorder="1"/>
    <xf numFmtId="0" fontId="2" fillId="0" borderId="0" xfId="0" applyFont="1" applyFill="1" applyBorder="1"/>
    <xf numFmtId="0" fontId="2" fillId="0" borderId="0" xfId="0" applyFont="1"/>
    <xf numFmtId="1" fontId="2" fillId="3" borderId="2" xfId="0" applyNumberFormat="1" applyFont="1" applyFill="1" applyBorder="1" applyAlignment="1">
      <alignment horizontal="center"/>
    </xf>
    <xf numFmtId="0" fontId="1" fillId="10" borderId="2" xfId="0" applyFont="1" applyFill="1" applyBorder="1"/>
    <xf numFmtId="1" fontId="1" fillId="9" borderId="2" xfId="0" applyNumberFormat="1" applyFont="1" applyFill="1" applyBorder="1"/>
    <xf numFmtId="164" fontId="0" fillId="6" borderId="0" xfId="0" applyNumberFormat="1" applyFill="1" applyAlignment="1"/>
    <xf numFmtId="164" fontId="0" fillId="6" borderId="0" xfId="0" applyNumberFormat="1" applyFill="1"/>
    <xf numFmtId="0" fontId="0" fillId="13" borderId="1" xfId="0" applyFill="1" applyBorder="1"/>
    <xf numFmtId="0" fontId="0" fillId="4" borderId="3" xfId="0" applyFill="1" applyBorder="1"/>
    <xf numFmtId="0" fontId="0" fillId="13" borderId="4" xfId="0" applyFill="1" applyBorder="1"/>
    <xf numFmtId="0" fontId="0" fillId="14" borderId="1" xfId="0" applyFill="1" applyBorder="1"/>
    <xf numFmtId="3" fontId="0" fillId="14" borderId="1" xfId="0" applyNumberFormat="1" applyFill="1" applyBorder="1"/>
    <xf numFmtId="165" fontId="0" fillId="5" borderId="1" xfId="0" applyNumberFormat="1" applyFill="1" applyBorder="1"/>
    <xf numFmtId="0" fontId="0" fillId="0" borderId="5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508188</xdr:colOff>
      <xdr:row>9</xdr:row>
      <xdr:rowOff>88526</xdr:rowOff>
    </xdr:from>
    <xdr:to>
      <xdr:col>5</xdr:col>
      <xdr:colOff>11206</xdr:colOff>
      <xdr:row>11</xdr:row>
      <xdr:rowOff>122547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487CBB8-BBBC-4A32-8F2C-485F8D97EB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70188" y="1803026"/>
          <a:ext cx="3357842" cy="415021"/>
        </a:xfrm>
        <a:prstGeom prst="rect">
          <a:avLst/>
        </a:prstGeom>
        <a:ln w="38100"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460003</xdr:colOff>
      <xdr:row>12</xdr:row>
      <xdr:rowOff>84044</xdr:rowOff>
    </xdr:from>
    <xdr:to>
      <xdr:col>5</xdr:col>
      <xdr:colOff>470647</xdr:colOff>
      <xdr:row>20</xdr:row>
      <xdr:rowOff>67945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1CBF297-E71A-4730-952B-B5CEE77F08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22003" y="2370044"/>
          <a:ext cx="3865468" cy="1507901"/>
        </a:xfrm>
        <a:prstGeom prst="rect">
          <a:avLst/>
        </a:prstGeom>
        <a:ln w="38100">
          <a:solidFill>
            <a:schemeClr val="tx1"/>
          </a:solidFill>
        </a:ln>
      </xdr:spPr>
    </xdr:pic>
    <xdr:clientData/>
  </xdr:twoCellAnchor>
  <xdr:twoCellAnchor editAs="oneCell">
    <xdr:from>
      <xdr:col>5</xdr:col>
      <xdr:colOff>470646</xdr:colOff>
      <xdr:row>0</xdr:row>
      <xdr:rowOff>0</xdr:rowOff>
    </xdr:from>
    <xdr:to>
      <xdr:col>11</xdr:col>
      <xdr:colOff>492996</xdr:colOff>
      <xdr:row>10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82F0F506-EE27-4160-9943-E3E5CD4D92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087470" y="0"/>
          <a:ext cx="6569362" cy="1962150"/>
        </a:xfrm>
        <a:prstGeom prst="rect">
          <a:avLst/>
        </a:prstGeom>
        <a:ln w="38100"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466165</xdr:colOff>
      <xdr:row>21</xdr:row>
      <xdr:rowOff>4483</xdr:rowOff>
    </xdr:from>
    <xdr:to>
      <xdr:col>4</xdr:col>
      <xdr:colOff>179294</xdr:colOff>
      <xdr:row>24</xdr:row>
      <xdr:rowOff>3652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7A65ACB-D4EA-439B-9BB2-3521034A8E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28165" y="4004983"/>
          <a:ext cx="2581835" cy="570669"/>
        </a:xfrm>
        <a:prstGeom prst="rect">
          <a:avLst/>
        </a:prstGeom>
        <a:ln w="38100"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481853</xdr:colOff>
      <xdr:row>24</xdr:row>
      <xdr:rowOff>97491</xdr:rowOff>
    </xdr:from>
    <xdr:to>
      <xdr:col>4</xdr:col>
      <xdr:colOff>481853</xdr:colOff>
      <xdr:row>33</xdr:row>
      <xdr:rowOff>138910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FAF79DCB-60BD-4A60-95D3-03EB6CA08D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43853" y="4669491"/>
          <a:ext cx="2868706" cy="1755919"/>
        </a:xfrm>
        <a:prstGeom prst="rect">
          <a:avLst/>
        </a:prstGeom>
        <a:ln w="38100"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467284</xdr:colOff>
      <xdr:row>34</xdr:row>
      <xdr:rowOff>111499</xdr:rowOff>
    </xdr:from>
    <xdr:to>
      <xdr:col>4</xdr:col>
      <xdr:colOff>22412</xdr:colOff>
      <xdr:row>38</xdr:row>
      <xdr:rowOff>26094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8B26402-2B71-4591-878E-483F5C9A93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29284" y="6588499"/>
          <a:ext cx="2423834" cy="676595"/>
        </a:xfrm>
        <a:prstGeom prst="rect">
          <a:avLst/>
        </a:prstGeom>
        <a:ln w="38100"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461121</xdr:colOff>
      <xdr:row>38</xdr:row>
      <xdr:rowOff>168650</xdr:rowOff>
    </xdr:from>
    <xdr:to>
      <xdr:col>4</xdr:col>
      <xdr:colOff>336176</xdr:colOff>
      <xdr:row>42</xdr:row>
      <xdr:rowOff>93122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A48B8E73-10A2-4012-A966-F137442691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23121" y="7407650"/>
          <a:ext cx="2743761" cy="686472"/>
        </a:xfrm>
        <a:prstGeom prst="rect">
          <a:avLst/>
        </a:prstGeom>
        <a:ln w="38100"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T311"/>
  <sheetViews>
    <sheetView tabSelected="1" topLeftCell="A14" zoomScaleNormal="100" workbookViewId="0">
      <selection activeCell="J36" sqref="J36"/>
    </sheetView>
  </sheetViews>
  <sheetFormatPr baseColWidth="10" defaultRowHeight="15" x14ac:dyDescent="0.25"/>
  <cols>
    <col min="2" max="2" width="13.28515625" customWidth="1"/>
    <col min="3" max="3" width="12.7109375" customWidth="1"/>
    <col min="4" max="4" width="17" customWidth="1"/>
    <col min="5" max="5" width="14.85546875" customWidth="1"/>
    <col min="6" max="6" width="13.42578125" customWidth="1"/>
    <col min="7" max="7" width="13.28515625" customWidth="1"/>
    <col min="8" max="8" width="20" customWidth="1"/>
    <col min="9" max="9" width="10.140625" customWidth="1"/>
    <col min="10" max="10" width="29.42578125" style="16" customWidth="1"/>
    <col min="11" max="11" width="11.5703125" customWidth="1"/>
    <col min="12" max="12" width="9.140625" customWidth="1"/>
    <col min="13" max="13" width="4.7109375" customWidth="1"/>
    <col min="14" max="14" width="7.85546875" customWidth="1"/>
    <col min="15" max="15" width="7.28515625" customWidth="1"/>
  </cols>
  <sheetData>
    <row r="3" spans="7:10" x14ac:dyDescent="0.25">
      <c r="J3"/>
    </row>
    <row r="4" spans="7:10" x14ac:dyDescent="0.25">
      <c r="J4"/>
    </row>
    <row r="5" spans="7:10" x14ac:dyDescent="0.25">
      <c r="J5"/>
    </row>
    <row r="6" spans="7:10" x14ac:dyDescent="0.25">
      <c r="J6"/>
    </row>
    <row r="7" spans="7:10" x14ac:dyDescent="0.25">
      <c r="J7"/>
    </row>
    <row r="8" spans="7:10" x14ac:dyDescent="0.25">
      <c r="J8"/>
    </row>
    <row r="9" spans="7:10" x14ac:dyDescent="0.25">
      <c r="J9"/>
    </row>
    <row r="10" spans="7:10" x14ac:dyDescent="0.25">
      <c r="J10"/>
    </row>
    <row r="11" spans="7:10" x14ac:dyDescent="0.25">
      <c r="J11"/>
    </row>
    <row r="12" spans="7:10" x14ac:dyDescent="0.25">
      <c r="J12"/>
    </row>
    <row r="13" spans="7:10" x14ac:dyDescent="0.25">
      <c r="G13" t="s">
        <v>25</v>
      </c>
      <c r="J13"/>
    </row>
    <row r="14" spans="7:10" x14ac:dyDescent="0.25">
      <c r="J14"/>
    </row>
    <row r="15" spans="7:10" x14ac:dyDescent="0.25">
      <c r="J15"/>
    </row>
    <row r="16" spans="7:10" x14ac:dyDescent="0.25">
      <c r="J16"/>
    </row>
    <row r="17" spans="8:15" x14ac:dyDescent="0.25">
      <c r="J17"/>
      <c r="L17" s="2"/>
      <c r="M17" s="2"/>
      <c r="N17" s="2"/>
      <c r="O17" s="2"/>
    </row>
    <row r="18" spans="8:15" x14ac:dyDescent="0.25">
      <c r="H18" s="6" t="s">
        <v>20</v>
      </c>
      <c r="I18" s="36">
        <v>20</v>
      </c>
      <c r="J18"/>
      <c r="K18" s="7" t="s">
        <v>24</v>
      </c>
    </row>
    <row r="19" spans="8:15" x14ac:dyDescent="0.25">
      <c r="H19" s="6" t="s">
        <v>18</v>
      </c>
      <c r="I19" s="6">
        <v>0.26400000000000001</v>
      </c>
      <c r="J19" s="41"/>
      <c r="K19" s="40">
        <f>I30-K30*I19</f>
        <v>20</v>
      </c>
    </row>
    <row r="20" spans="8:15" x14ac:dyDescent="0.25">
      <c r="H20" s="6" t="s">
        <v>19</v>
      </c>
      <c r="I20" s="6">
        <v>3.3</v>
      </c>
      <c r="J20" s="41"/>
      <c r="K20" s="40">
        <f>I30-K30*I20</f>
        <v>-0.32210953346855575</v>
      </c>
    </row>
    <row r="21" spans="8:15" x14ac:dyDescent="0.25">
      <c r="H21" s="35"/>
      <c r="I21" s="37"/>
    </row>
    <row r="22" spans="8:15" x14ac:dyDescent="0.25">
      <c r="H22" s="35" t="s">
        <v>1</v>
      </c>
      <c r="I22" s="35">
        <v>5.0000000000000002E-5</v>
      </c>
    </row>
    <row r="23" spans="8:15" x14ac:dyDescent="0.25">
      <c r="H23" s="35" t="s">
        <v>2</v>
      </c>
      <c r="I23" s="35">
        <v>15000</v>
      </c>
    </row>
    <row r="24" spans="8:15" x14ac:dyDescent="0.25">
      <c r="H24" s="35" t="s">
        <v>0</v>
      </c>
      <c r="I24" s="35">
        <v>1.25</v>
      </c>
    </row>
    <row r="25" spans="8:15" x14ac:dyDescent="0.25">
      <c r="H25" s="35"/>
      <c r="I25" s="35"/>
    </row>
    <row r="26" spans="8:15" x14ac:dyDescent="0.25">
      <c r="H26" s="38" t="s">
        <v>3</v>
      </c>
      <c r="I26" s="39">
        <f>(I18-I24)/I22</f>
        <v>375000</v>
      </c>
    </row>
    <row r="27" spans="8:15" x14ac:dyDescent="0.25">
      <c r="H27" s="38" t="s">
        <v>4</v>
      </c>
      <c r="I27" s="39">
        <f>I23*(I24-I19)/I19</f>
        <v>56022.727272727272</v>
      </c>
    </row>
    <row r="28" spans="8:15" x14ac:dyDescent="0.25">
      <c r="H28" s="38" t="s">
        <v>5</v>
      </c>
      <c r="I28" s="39">
        <f>I24/(I22-I24/(I27+I23))</f>
        <v>38580.246913580246</v>
      </c>
    </row>
    <row r="30" spans="8:15" x14ac:dyDescent="0.25">
      <c r="H30" s="9" t="s">
        <v>23</v>
      </c>
      <c r="I30" s="33">
        <f>I24+(I26*I24/I28)+(I26*I24/I27)</f>
        <v>21.76713995943205</v>
      </c>
      <c r="J30" s="8" t="s">
        <v>6</v>
      </c>
      <c r="K30" s="34">
        <f>I26/I27</f>
        <v>6.6937119675456387</v>
      </c>
      <c r="L30" s="9" t="s">
        <v>17</v>
      </c>
    </row>
    <row r="31" spans="8:15" x14ac:dyDescent="0.25">
      <c r="H31" s="10" t="s">
        <v>22</v>
      </c>
      <c r="I31" s="13">
        <f>I30/K30</f>
        <v>3.2518787878787885</v>
      </c>
      <c r="J31" s="11" t="s">
        <v>6</v>
      </c>
      <c r="K31" s="13">
        <f>1/K30</f>
        <v>0.14939393939393941</v>
      </c>
      <c r="L31" s="12" t="s">
        <v>21</v>
      </c>
    </row>
    <row r="92" spans="7:8" x14ac:dyDescent="0.25">
      <c r="G92" s="2"/>
      <c r="H92" s="2"/>
    </row>
    <row r="93" spans="7:8" x14ac:dyDescent="0.25">
      <c r="G93" s="2"/>
      <c r="H93" s="2"/>
    </row>
    <row r="94" spans="7:8" x14ac:dyDescent="0.25">
      <c r="G94" s="2"/>
      <c r="H94" s="2"/>
    </row>
    <row r="95" spans="7:8" x14ac:dyDescent="0.25">
      <c r="G95" s="15"/>
      <c r="H95" s="2"/>
    </row>
    <row r="96" spans="7:8" x14ac:dyDescent="0.25">
      <c r="G96" s="2"/>
      <c r="H96" s="2"/>
    </row>
    <row r="97" spans="7:11" x14ac:dyDescent="0.25">
      <c r="G97" s="2"/>
      <c r="H97" s="2"/>
    </row>
    <row r="98" spans="7:11" x14ac:dyDescent="0.25">
      <c r="G98" s="2"/>
      <c r="H98" s="2"/>
    </row>
    <row r="99" spans="7:11" x14ac:dyDescent="0.25">
      <c r="G99" s="2"/>
      <c r="H99" s="2"/>
    </row>
    <row r="100" spans="7:11" x14ac:dyDescent="0.25">
      <c r="G100" s="2"/>
      <c r="H100" s="2"/>
    </row>
    <row r="101" spans="7:11" x14ac:dyDescent="0.25">
      <c r="G101" s="2"/>
      <c r="H101" s="2"/>
    </row>
    <row r="102" spans="7:11" x14ac:dyDescent="0.25">
      <c r="G102" s="2"/>
      <c r="H102" s="2"/>
    </row>
    <row r="103" spans="7:11" x14ac:dyDescent="0.25">
      <c r="G103" s="2"/>
      <c r="H103" s="2"/>
    </row>
    <row r="104" spans="7:11" x14ac:dyDescent="0.25">
      <c r="G104" s="2"/>
      <c r="H104" s="2"/>
    </row>
    <row r="105" spans="7:11" x14ac:dyDescent="0.25">
      <c r="G105" s="2"/>
      <c r="H105" s="2"/>
    </row>
    <row r="106" spans="7:11" x14ac:dyDescent="0.25">
      <c r="G106" s="2"/>
      <c r="H106" s="2"/>
    </row>
    <row r="107" spans="7:11" x14ac:dyDescent="0.25">
      <c r="G107" s="2"/>
      <c r="H107" s="2"/>
      <c r="I107" s="2"/>
      <c r="J107" s="17"/>
      <c r="K107" s="2"/>
    </row>
    <row r="108" spans="7:11" x14ac:dyDescent="0.25">
      <c r="G108" s="2"/>
      <c r="H108" s="2"/>
      <c r="I108" s="2"/>
      <c r="J108" s="17"/>
      <c r="K108" s="2"/>
    </row>
    <row r="109" spans="7:11" x14ac:dyDescent="0.25">
      <c r="G109" s="2"/>
      <c r="H109" s="2"/>
      <c r="I109" s="3"/>
      <c r="J109" s="18"/>
      <c r="K109" s="2"/>
    </row>
    <row r="110" spans="7:11" x14ac:dyDescent="0.25">
      <c r="G110" s="2"/>
      <c r="H110" s="2"/>
      <c r="I110" s="4"/>
      <c r="J110" s="19"/>
      <c r="K110" s="2"/>
    </row>
    <row r="111" spans="7:11" x14ac:dyDescent="0.25">
      <c r="G111" s="2"/>
      <c r="H111" s="2"/>
      <c r="I111" s="4"/>
      <c r="J111" s="20"/>
      <c r="K111" s="2"/>
    </row>
    <row r="112" spans="7:11" x14ac:dyDescent="0.25">
      <c r="G112" s="2"/>
      <c r="H112" s="2"/>
      <c r="I112" s="4"/>
      <c r="J112" s="20"/>
      <c r="K112" s="2"/>
    </row>
    <row r="113" spans="7:11" x14ac:dyDescent="0.25">
      <c r="G113" s="2"/>
      <c r="H113" s="2"/>
      <c r="I113" s="4"/>
      <c r="J113" s="20"/>
      <c r="K113" s="2"/>
    </row>
    <row r="114" spans="7:11" x14ac:dyDescent="0.25">
      <c r="G114" s="2"/>
      <c r="H114" s="2"/>
      <c r="I114" s="4"/>
      <c r="J114" s="20"/>
      <c r="K114" s="2"/>
    </row>
    <row r="115" spans="7:11" x14ac:dyDescent="0.25">
      <c r="G115" s="2"/>
      <c r="H115" s="2"/>
      <c r="I115" s="4"/>
      <c r="J115" s="20"/>
      <c r="K115" s="2"/>
    </row>
    <row r="116" spans="7:11" x14ac:dyDescent="0.25">
      <c r="G116" s="2"/>
      <c r="H116" s="2"/>
      <c r="I116" s="4"/>
      <c r="J116" s="20"/>
      <c r="K116" s="2"/>
    </row>
    <row r="117" spans="7:11" x14ac:dyDescent="0.25">
      <c r="G117" s="2"/>
      <c r="H117" s="2"/>
      <c r="I117" s="4"/>
      <c r="J117" s="20"/>
      <c r="K117" s="2"/>
    </row>
    <row r="118" spans="7:11" x14ac:dyDescent="0.25">
      <c r="G118" s="2"/>
      <c r="H118" s="2"/>
      <c r="I118" s="4"/>
      <c r="J118" s="20"/>
      <c r="K118" s="2"/>
    </row>
    <row r="119" spans="7:11" x14ac:dyDescent="0.25">
      <c r="G119" s="2"/>
      <c r="H119" s="2"/>
      <c r="I119" s="4"/>
      <c r="J119" s="20"/>
      <c r="K119" s="2"/>
    </row>
    <row r="120" spans="7:11" x14ac:dyDescent="0.25">
      <c r="G120" s="2"/>
      <c r="H120" s="2"/>
      <c r="I120" s="4"/>
      <c r="J120" s="20"/>
      <c r="K120" s="2"/>
    </row>
    <row r="121" spans="7:11" x14ac:dyDescent="0.25">
      <c r="G121" s="2"/>
      <c r="H121" s="2"/>
      <c r="I121" s="4"/>
      <c r="J121" s="20"/>
      <c r="K121" s="2"/>
    </row>
    <row r="122" spans="7:11" x14ac:dyDescent="0.25">
      <c r="G122" s="2"/>
      <c r="H122" s="2"/>
      <c r="I122" s="4"/>
      <c r="J122" s="20"/>
      <c r="K122" s="2"/>
    </row>
    <row r="123" spans="7:11" x14ac:dyDescent="0.25">
      <c r="G123" s="2"/>
      <c r="H123" s="2"/>
      <c r="I123" s="4"/>
      <c r="J123" s="20"/>
      <c r="K123" s="2"/>
    </row>
    <row r="124" spans="7:11" x14ac:dyDescent="0.25">
      <c r="G124" s="2"/>
      <c r="H124" s="2"/>
      <c r="I124" s="4"/>
      <c r="J124" s="20"/>
      <c r="K124" s="2"/>
    </row>
    <row r="125" spans="7:11" x14ac:dyDescent="0.25">
      <c r="G125" s="2"/>
      <c r="H125" s="2"/>
      <c r="I125" s="4"/>
      <c r="J125" s="20"/>
      <c r="K125" s="2"/>
    </row>
    <row r="126" spans="7:11" x14ac:dyDescent="0.25">
      <c r="G126" s="2"/>
      <c r="H126" s="2"/>
      <c r="I126" s="4"/>
      <c r="J126" s="20"/>
      <c r="K126" s="2"/>
    </row>
    <row r="127" spans="7:11" x14ac:dyDescent="0.25">
      <c r="G127" s="2"/>
      <c r="H127" s="2"/>
      <c r="I127" s="4"/>
      <c r="J127" s="20"/>
      <c r="K127" s="2"/>
    </row>
    <row r="128" spans="7:11" x14ac:dyDescent="0.25">
      <c r="I128" s="4"/>
      <c r="J128" s="20"/>
      <c r="K128" s="2"/>
    </row>
    <row r="129" spans="2:11" x14ac:dyDescent="0.25">
      <c r="I129" s="4"/>
      <c r="J129" s="20"/>
      <c r="K129" s="2"/>
    </row>
    <row r="130" spans="2:11" x14ac:dyDescent="0.25">
      <c r="B130" s="3"/>
      <c r="C130" s="3"/>
      <c r="D130" s="3"/>
      <c r="E130" s="3"/>
      <c r="F130" s="3"/>
      <c r="G130" s="2"/>
      <c r="H130" s="2"/>
      <c r="I130" s="4"/>
      <c r="J130" s="20"/>
      <c r="K130" s="2"/>
    </row>
    <row r="131" spans="2:11" x14ac:dyDescent="0.25">
      <c r="B131" s="4"/>
      <c r="C131" s="5"/>
      <c r="D131" s="4"/>
      <c r="E131" s="4"/>
      <c r="F131" s="4"/>
      <c r="G131" s="2"/>
      <c r="H131" s="2"/>
      <c r="I131" s="4"/>
      <c r="J131" s="20"/>
      <c r="K131" s="2"/>
    </row>
    <row r="132" spans="2:11" x14ac:dyDescent="0.25">
      <c r="B132" s="4"/>
      <c r="C132" s="5"/>
      <c r="D132" s="4"/>
      <c r="E132" s="4"/>
      <c r="F132" s="4"/>
      <c r="G132" s="2"/>
      <c r="H132" s="2"/>
      <c r="I132" s="4"/>
      <c r="J132" s="20"/>
      <c r="K132" s="2"/>
    </row>
    <row r="133" spans="2:11" x14ac:dyDescent="0.25">
      <c r="B133" s="4"/>
      <c r="C133" s="5"/>
      <c r="D133" s="4"/>
      <c r="E133" s="4"/>
      <c r="F133" s="4"/>
      <c r="G133" s="2"/>
      <c r="H133" s="2"/>
      <c r="I133" s="4"/>
      <c r="J133" s="20"/>
      <c r="K133" s="2"/>
    </row>
    <row r="134" spans="2:11" x14ac:dyDescent="0.25">
      <c r="B134" s="4"/>
      <c r="C134" s="5"/>
      <c r="D134" s="4"/>
      <c r="E134" s="4"/>
      <c r="F134" s="4"/>
      <c r="G134" s="2"/>
      <c r="H134" s="2"/>
      <c r="I134" s="4"/>
      <c r="J134" s="20"/>
      <c r="K134" s="2"/>
    </row>
    <row r="135" spans="2:11" x14ac:dyDescent="0.25">
      <c r="B135" s="4"/>
      <c r="C135" s="5"/>
      <c r="D135" s="4"/>
      <c r="E135" s="4"/>
      <c r="F135" s="4"/>
      <c r="G135" s="2"/>
      <c r="H135" s="2"/>
      <c r="I135" s="4"/>
      <c r="J135" s="20"/>
      <c r="K135" s="2"/>
    </row>
    <row r="136" spans="2:11" x14ac:dyDescent="0.25">
      <c r="B136" s="4"/>
      <c r="C136" s="5"/>
      <c r="D136" s="4"/>
      <c r="E136" s="4"/>
      <c r="F136" s="4"/>
      <c r="G136" s="2"/>
      <c r="H136" s="2"/>
      <c r="I136" s="4"/>
      <c r="J136" s="20"/>
      <c r="K136" s="2"/>
    </row>
    <row r="137" spans="2:11" x14ac:dyDescent="0.25">
      <c r="B137" s="4"/>
      <c r="C137" s="5"/>
      <c r="D137" s="4"/>
      <c r="E137" s="4"/>
      <c r="F137" s="4"/>
      <c r="G137" s="2"/>
      <c r="H137" s="2"/>
      <c r="I137" s="4"/>
      <c r="J137" s="20"/>
      <c r="K137" s="2"/>
    </row>
    <row r="138" spans="2:11" x14ac:dyDescent="0.25">
      <c r="B138" s="4"/>
      <c r="C138" s="5"/>
      <c r="D138" s="4"/>
      <c r="E138" s="4"/>
      <c r="F138" s="4"/>
      <c r="G138" s="2"/>
      <c r="H138" s="2"/>
      <c r="I138" s="4"/>
      <c r="J138" s="20"/>
      <c r="K138" s="2"/>
    </row>
    <row r="139" spans="2:11" x14ac:dyDescent="0.25">
      <c r="B139" s="4"/>
      <c r="C139" s="5"/>
      <c r="D139" s="4"/>
      <c r="E139" s="4"/>
      <c r="F139" s="4"/>
      <c r="G139" s="2"/>
      <c r="H139" s="2"/>
      <c r="I139" s="4"/>
      <c r="J139" s="20"/>
      <c r="K139" s="2"/>
    </row>
    <row r="140" spans="2:11" x14ac:dyDescent="0.25">
      <c r="B140" s="4"/>
      <c r="C140" s="5"/>
      <c r="D140" s="4"/>
      <c r="E140" s="4"/>
      <c r="F140" s="4"/>
      <c r="G140" s="2"/>
      <c r="H140" s="2"/>
      <c r="I140" s="4"/>
      <c r="J140" s="20"/>
      <c r="K140" s="2"/>
    </row>
    <row r="141" spans="2:11" x14ac:dyDescent="0.25">
      <c r="B141" s="4"/>
      <c r="C141" s="5"/>
      <c r="D141" s="4"/>
      <c r="E141" s="4"/>
      <c r="F141" s="4"/>
      <c r="G141" s="2"/>
      <c r="H141" s="2"/>
      <c r="I141" s="2"/>
      <c r="J141" s="17"/>
      <c r="K141" s="2"/>
    </row>
    <row r="142" spans="2:11" x14ac:dyDescent="0.25">
      <c r="B142" s="4"/>
      <c r="C142" s="5"/>
      <c r="D142" s="4"/>
      <c r="E142" s="4"/>
      <c r="F142" s="4"/>
      <c r="G142" s="2"/>
      <c r="H142" s="2"/>
      <c r="I142" s="2"/>
      <c r="J142" s="17"/>
      <c r="K142" s="2"/>
    </row>
    <row r="143" spans="2:11" x14ac:dyDescent="0.25">
      <c r="B143" s="4"/>
      <c r="C143" s="5"/>
      <c r="D143" s="4"/>
      <c r="E143" s="4"/>
      <c r="F143" s="4"/>
      <c r="G143" s="2"/>
      <c r="H143" s="2"/>
    </row>
    <row r="144" spans="2:11" x14ac:dyDescent="0.25">
      <c r="B144" s="4"/>
      <c r="C144" s="5"/>
      <c r="D144" s="4"/>
      <c r="E144" s="4"/>
      <c r="F144" s="4"/>
      <c r="G144" s="2"/>
      <c r="H144" s="2"/>
    </row>
    <row r="145" spans="2:20" x14ac:dyDescent="0.25">
      <c r="B145" s="4"/>
      <c r="C145" s="5"/>
      <c r="D145" s="4"/>
      <c r="E145" s="4"/>
      <c r="F145" s="4"/>
      <c r="G145" s="2"/>
      <c r="H145" s="2"/>
      <c r="I145" s="3"/>
      <c r="J145" s="18"/>
      <c r="K145" s="3"/>
    </row>
    <row r="146" spans="2:20" x14ac:dyDescent="0.25">
      <c r="B146" s="4"/>
      <c r="C146" s="5"/>
      <c r="D146" s="4"/>
      <c r="E146" s="4"/>
      <c r="F146" s="4"/>
      <c r="G146" s="2"/>
      <c r="H146" s="2"/>
      <c r="I146" s="5"/>
      <c r="J146" s="20"/>
      <c r="K146" s="5"/>
    </row>
    <row r="147" spans="2:20" x14ac:dyDescent="0.25">
      <c r="B147" s="4"/>
      <c r="C147" s="5"/>
      <c r="D147" s="4"/>
      <c r="E147" s="4"/>
      <c r="F147" s="4"/>
      <c r="G147" s="2"/>
      <c r="H147" s="2"/>
      <c r="I147" s="5"/>
      <c r="J147" s="20"/>
      <c r="K147" s="5"/>
    </row>
    <row r="148" spans="2:20" x14ac:dyDescent="0.25">
      <c r="B148" s="4"/>
      <c r="C148" s="5"/>
      <c r="D148" s="4"/>
      <c r="E148" s="4"/>
      <c r="F148" s="4"/>
      <c r="G148" s="2"/>
      <c r="H148" s="2"/>
      <c r="I148" s="5"/>
      <c r="J148" s="20"/>
      <c r="K148" s="5"/>
      <c r="Q148" s="2"/>
      <c r="R148" s="2"/>
      <c r="S148" s="2"/>
      <c r="T148" s="2"/>
    </row>
    <row r="149" spans="2:20" x14ac:dyDescent="0.25">
      <c r="B149" s="4"/>
      <c r="C149" s="5"/>
      <c r="D149" s="4"/>
      <c r="E149" s="4"/>
      <c r="F149" s="4"/>
      <c r="G149" s="2"/>
      <c r="H149" s="2"/>
      <c r="I149" s="5"/>
      <c r="J149" s="20"/>
      <c r="K149" s="5"/>
      <c r="Q149" s="2"/>
      <c r="R149" s="2"/>
      <c r="S149" s="2"/>
      <c r="T149" s="2"/>
    </row>
    <row r="150" spans="2:20" x14ac:dyDescent="0.25">
      <c r="B150" s="4"/>
      <c r="C150" s="5"/>
      <c r="D150" s="4"/>
      <c r="E150" s="4"/>
      <c r="F150" s="4"/>
      <c r="G150" s="2"/>
      <c r="H150" s="2"/>
      <c r="I150" s="5"/>
      <c r="J150" s="20"/>
      <c r="K150" s="5"/>
      <c r="Q150" s="3"/>
      <c r="R150" s="3"/>
      <c r="S150" s="2"/>
      <c r="T150" s="2"/>
    </row>
    <row r="151" spans="2:20" x14ac:dyDescent="0.25">
      <c r="B151" s="4"/>
      <c r="C151" s="5"/>
      <c r="D151" s="4"/>
      <c r="E151" s="4"/>
      <c r="F151" s="4"/>
      <c r="G151" s="2"/>
      <c r="H151" s="2"/>
      <c r="I151" s="5"/>
      <c r="J151" s="20"/>
      <c r="K151" s="5"/>
      <c r="Q151" s="4"/>
    </row>
    <row r="152" spans="2:20" x14ac:dyDescent="0.25">
      <c r="B152" s="4"/>
      <c r="C152" s="5"/>
      <c r="D152" s="4"/>
      <c r="E152" s="4"/>
      <c r="F152" s="4"/>
      <c r="G152" s="2"/>
      <c r="H152" s="2"/>
      <c r="I152" s="5"/>
      <c r="J152" s="20"/>
      <c r="K152" s="5"/>
      <c r="Q152" s="4"/>
    </row>
    <row r="153" spans="2:20" x14ac:dyDescent="0.25">
      <c r="B153" s="4"/>
      <c r="C153" s="5"/>
      <c r="D153" s="4"/>
      <c r="E153" s="4"/>
      <c r="F153" s="4"/>
      <c r="G153" s="2"/>
      <c r="H153" s="2"/>
      <c r="I153" s="5"/>
      <c r="J153" s="20"/>
      <c r="K153" s="5"/>
      <c r="Q153" s="4"/>
    </row>
    <row r="154" spans="2:20" x14ac:dyDescent="0.25">
      <c r="B154" s="4"/>
      <c r="C154" s="5"/>
      <c r="D154" s="4"/>
      <c r="E154" s="4"/>
      <c r="F154" s="4"/>
      <c r="G154" s="2"/>
      <c r="H154" s="2"/>
      <c r="I154" s="5"/>
      <c r="J154" s="20"/>
      <c r="K154" s="5"/>
      <c r="Q154" s="4"/>
    </row>
    <row r="155" spans="2:20" x14ac:dyDescent="0.25">
      <c r="B155" s="4"/>
      <c r="C155" s="5"/>
      <c r="D155" s="4"/>
      <c r="E155" s="4"/>
      <c r="F155" s="4"/>
      <c r="G155" s="2"/>
      <c r="H155" s="2"/>
      <c r="I155" s="5"/>
      <c r="J155" s="20"/>
      <c r="K155" s="5"/>
      <c r="Q155" s="4"/>
    </row>
    <row r="156" spans="2:20" x14ac:dyDescent="0.25">
      <c r="B156" s="4"/>
      <c r="C156" s="5"/>
      <c r="D156" s="4"/>
      <c r="E156" s="4"/>
      <c r="F156" s="4"/>
      <c r="G156" s="2"/>
      <c r="H156" s="2"/>
      <c r="I156" s="5"/>
      <c r="J156" s="20"/>
      <c r="K156" s="5"/>
      <c r="Q156" s="4"/>
    </row>
    <row r="157" spans="2:20" x14ac:dyDescent="0.25">
      <c r="B157" s="4"/>
      <c r="C157" s="5"/>
      <c r="D157" s="4"/>
      <c r="E157" s="4"/>
      <c r="F157" s="4"/>
      <c r="G157" s="2"/>
      <c r="H157" s="2"/>
      <c r="I157" s="5"/>
      <c r="J157" s="20"/>
      <c r="K157" s="5"/>
      <c r="Q157" s="4"/>
    </row>
    <row r="158" spans="2:20" x14ac:dyDescent="0.25">
      <c r="B158" s="4"/>
      <c r="C158" s="5"/>
      <c r="D158" s="4"/>
      <c r="E158" s="4"/>
      <c r="F158" s="4"/>
      <c r="G158" s="2"/>
      <c r="H158" s="2"/>
      <c r="I158" s="5"/>
      <c r="J158" s="20"/>
      <c r="K158" s="5"/>
      <c r="Q158" s="4"/>
    </row>
    <row r="159" spans="2:20" x14ac:dyDescent="0.25">
      <c r="B159" s="4"/>
      <c r="C159" s="5"/>
      <c r="D159" s="4"/>
      <c r="E159" s="4"/>
      <c r="F159" s="4"/>
      <c r="G159" s="2"/>
      <c r="H159" s="2"/>
      <c r="I159" s="5"/>
      <c r="J159" s="20"/>
      <c r="K159" s="5"/>
      <c r="Q159" s="4"/>
    </row>
    <row r="160" spans="2:20" x14ac:dyDescent="0.25">
      <c r="B160" s="4"/>
      <c r="C160" s="5"/>
      <c r="D160" s="4"/>
      <c r="E160" s="4"/>
      <c r="F160" s="4"/>
      <c r="G160" s="2"/>
      <c r="H160" s="2"/>
      <c r="I160" s="5"/>
      <c r="J160" s="20"/>
      <c r="K160" s="5"/>
      <c r="Q160" s="4"/>
    </row>
    <row r="161" spans="1:17" x14ac:dyDescent="0.25">
      <c r="B161" s="4"/>
      <c r="C161" s="5"/>
      <c r="D161" s="4"/>
      <c r="E161" s="4"/>
      <c r="F161" s="4"/>
      <c r="G161" s="2"/>
      <c r="H161" s="2"/>
      <c r="I161" s="5"/>
      <c r="J161" s="20"/>
      <c r="K161" s="5"/>
      <c r="Q161" s="4"/>
    </row>
    <row r="162" spans="1:17" x14ac:dyDescent="0.25">
      <c r="I162" s="5"/>
      <c r="J162" s="20"/>
      <c r="K162" s="5"/>
      <c r="Q162" s="4"/>
    </row>
    <row r="163" spans="1:17" x14ac:dyDescent="0.25">
      <c r="I163" s="5"/>
      <c r="J163" s="20"/>
      <c r="K163" s="5"/>
      <c r="Q163" s="4"/>
    </row>
    <row r="164" spans="1:17" x14ac:dyDescent="0.25">
      <c r="I164" s="5"/>
      <c r="J164" s="20"/>
      <c r="K164" s="5"/>
      <c r="M164" s="2"/>
      <c r="N164" s="2"/>
      <c r="O164" s="2"/>
      <c r="P164" s="2"/>
      <c r="Q164" s="4"/>
    </row>
    <row r="165" spans="1:17" x14ac:dyDescent="0.25">
      <c r="I165" s="5"/>
      <c r="J165" s="20"/>
      <c r="K165" s="5"/>
      <c r="M165" s="2"/>
      <c r="N165" s="2"/>
      <c r="O165" s="2"/>
      <c r="P165" s="2"/>
      <c r="Q165" s="4"/>
    </row>
    <row r="166" spans="1:17" x14ac:dyDescent="0.25">
      <c r="B166" t="s">
        <v>8</v>
      </c>
      <c r="C166" s="14"/>
      <c r="D166" s="14"/>
      <c r="E166" s="14"/>
      <c r="F166" s="14"/>
      <c r="I166" s="5"/>
      <c r="J166" s="20"/>
      <c r="K166" s="5"/>
      <c r="M166" s="2"/>
      <c r="N166" s="3"/>
      <c r="O166" s="3"/>
      <c r="P166" s="3"/>
      <c r="Q166" s="4"/>
    </row>
    <row r="167" spans="1:17" x14ac:dyDescent="0.25">
      <c r="B167" s="14"/>
      <c r="C167" s="14" t="s">
        <v>15</v>
      </c>
      <c r="D167" s="14"/>
      <c r="E167" s="14"/>
      <c r="F167" s="14"/>
      <c r="I167" s="5"/>
      <c r="J167" s="20"/>
      <c r="K167" s="5"/>
      <c r="M167" s="2"/>
      <c r="N167" s="4"/>
      <c r="O167" s="5"/>
      <c r="P167" s="4"/>
      <c r="Q167" s="4"/>
    </row>
    <row r="168" spans="1:17" x14ac:dyDescent="0.25">
      <c r="A168" s="14"/>
      <c r="B168" s="14"/>
      <c r="C168" s="14"/>
      <c r="D168" s="14" t="s">
        <v>11</v>
      </c>
      <c r="E168" s="14"/>
      <c r="F168" s="14"/>
      <c r="I168" s="5"/>
      <c r="J168" s="20"/>
      <c r="K168" s="5"/>
      <c r="M168" s="2"/>
      <c r="N168" s="4"/>
      <c r="O168" s="5"/>
      <c r="P168" s="4"/>
      <c r="Q168" s="4"/>
    </row>
    <row r="169" spans="1:17" x14ac:dyDescent="0.25">
      <c r="A169" s="14"/>
      <c r="E169" t="s">
        <v>16</v>
      </c>
      <c r="I169" s="5"/>
      <c r="J169" s="20"/>
      <c r="K169" s="5"/>
      <c r="M169" s="2"/>
      <c r="N169" s="4"/>
      <c r="O169" s="5"/>
      <c r="P169" s="4"/>
      <c r="Q169" s="4"/>
    </row>
    <row r="170" spans="1:17" x14ac:dyDescent="0.25">
      <c r="A170" s="14"/>
      <c r="I170" s="5"/>
      <c r="J170" s="20"/>
      <c r="K170" s="5"/>
      <c r="M170" s="2"/>
      <c r="N170" s="4"/>
      <c r="O170" s="5"/>
      <c r="P170" s="4"/>
      <c r="Q170" s="4"/>
    </row>
    <row r="171" spans="1:17" x14ac:dyDescent="0.25">
      <c r="A171" s="14"/>
      <c r="B171" s="2"/>
      <c r="C171" s="2"/>
      <c r="D171" s="2"/>
      <c r="E171" s="2"/>
      <c r="F171" s="2"/>
      <c r="I171" s="5"/>
      <c r="J171" s="20"/>
      <c r="K171" s="5"/>
      <c r="M171" s="2"/>
      <c r="N171" s="4"/>
      <c r="O171" s="5"/>
      <c r="P171" s="4"/>
      <c r="Q171" s="4"/>
    </row>
    <row r="172" spans="1:17" x14ac:dyDescent="0.25">
      <c r="A172" s="14"/>
      <c r="B172" s="3"/>
      <c r="C172" s="3"/>
      <c r="D172" s="3"/>
      <c r="E172" s="3"/>
      <c r="F172" s="3"/>
      <c r="I172" s="5"/>
      <c r="J172" s="20"/>
      <c r="K172" s="5"/>
      <c r="M172" s="2"/>
      <c r="N172" s="4"/>
      <c r="O172" s="5"/>
      <c r="P172" s="4"/>
      <c r="Q172" s="4"/>
    </row>
    <row r="173" spans="1:17" x14ac:dyDescent="0.25">
      <c r="A173" s="14"/>
      <c r="B173" s="1" t="s">
        <v>7</v>
      </c>
      <c r="C173" s="1" t="s">
        <v>9</v>
      </c>
      <c r="D173" s="1" t="s">
        <v>10</v>
      </c>
      <c r="E173" s="1" t="s">
        <v>12</v>
      </c>
      <c r="F173" s="4"/>
      <c r="G173" s="1" t="s">
        <v>9</v>
      </c>
      <c r="H173" s="1" t="s">
        <v>13</v>
      </c>
      <c r="I173" s="5"/>
      <c r="J173" s="21" t="s">
        <v>14</v>
      </c>
      <c r="K173" s="5"/>
      <c r="M173" s="2"/>
      <c r="N173" s="4"/>
      <c r="O173" s="5"/>
      <c r="P173" s="4"/>
      <c r="Q173" s="4"/>
    </row>
    <row r="174" spans="1:17" x14ac:dyDescent="0.25">
      <c r="A174" s="14"/>
      <c r="B174" s="23">
        <v>1</v>
      </c>
      <c r="C174" s="25">
        <v>3810</v>
      </c>
      <c r="D174" s="26">
        <v>3760</v>
      </c>
      <c r="E174" s="27">
        <f>C174-D174</f>
        <v>50</v>
      </c>
      <c r="F174" s="28"/>
      <c r="G174" s="25">
        <f>C174</f>
        <v>3810</v>
      </c>
      <c r="H174" s="25">
        <f>0.978*G174+30.54</f>
        <v>3756.72</v>
      </c>
      <c r="I174" s="5"/>
      <c r="J174" s="30">
        <f t="shared" ref="J174:J204" si="0">D174-H174</f>
        <v>3.2800000000002001</v>
      </c>
      <c r="K174" s="5"/>
      <c r="M174" s="2"/>
      <c r="N174" s="4"/>
      <c r="O174" s="5"/>
      <c r="P174" s="4"/>
      <c r="Q174" s="4"/>
    </row>
    <row r="175" spans="1:17" x14ac:dyDescent="0.25">
      <c r="A175" s="14"/>
      <c r="B175" s="24">
        <v>1.5</v>
      </c>
      <c r="C175" s="25">
        <v>3749</v>
      </c>
      <c r="D175" s="31">
        <v>3700</v>
      </c>
      <c r="E175" s="27">
        <f t="shared" ref="E175:E204" si="1">C175-D175</f>
        <v>49</v>
      </c>
      <c r="F175" s="28"/>
      <c r="G175" s="25">
        <f t="shared" ref="G175:G203" si="2">C175</f>
        <v>3749</v>
      </c>
      <c r="H175" s="25">
        <f t="shared" ref="H175:H204" si="3">0.978*G175+30.54</f>
        <v>3697.0619999999999</v>
      </c>
      <c r="I175" s="5"/>
      <c r="J175" s="30">
        <f t="shared" si="0"/>
        <v>2.9380000000001019</v>
      </c>
      <c r="K175" s="5"/>
      <c r="M175" s="2"/>
      <c r="N175" s="4"/>
      <c r="O175" s="5"/>
      <c r="P175" s="4"/>
      <c r="Q175" s="4"/>
    </row>
    <row r="176" spans="1:17" x14ac:dyDescent="0.25">
      <c r="A176" s="14"/>
      <c r="B176" s="23">
        <v>2</v>
      </c>
      <c r="C176" s="25">
        <v>3688</v>
      </c>
      <c r="D176" s="26">
        <v>3637</v>
      </c>
      <c r="E176" s="27">
        <f t="shared" si="1"/>
        <v>51</v>
      </c>
      <c r="F176" s="28"/>
      <c r="G176" s="25">
        <f t="shared" si="2"/>
        <v>3688</v>
      </c>
      <c r="H176" s="25">
        <f t="shared" si="3"/>
        <v>3637.404</v>
      </c>
      <c r="I176" s="5"/>
      <c r="J176" s="30">
        <f t="shared" si="0"/>
        <v>-0.40399999999999636</v>
      </c>
      <c r="K176" s="5"/>
      <c r="M176" s="2"/>
      <c r="N176" s="4"/>
      <c r="O176" s="5"/>
      <c r="P176" s="4"/>
      <c r="Q176" s="4"/>
    </row>
    <row r="177" spans="1:17" x14ac:dyDescent="0.25">
      <c r="A177" s="14"/>
      <c r="B177" s="24">
        <f>B176+1</f>
        <v>3</v>
      </c>
      <c r="C177" s="25">
        <v>3566</v>
      </c>
      <c r="D177" s="31">
        <v>3515</v>
      </c>
      <c r="E177" s="27">
        <f t="shared" si="1"/>
        <v>51</v>
      </c>
      <c r="F177" s="28"/>
      <c r="G177" s="25">
        <f t="shared" si="2"/>
        <v>3566</v>
      </c>
      <c r="H177" s="25">
        <f t="shared" si="3"/>
        <v>3518.0879999999997</v>
      </c>
      <c r="J177" s="30">
        <f t="shared" si="0"/>
        <v>-3.0879999999997381</v>
      </c>
      <c r="M177" s="2"/>
      <c r="N177" s="4"/>
      <c r="O177" s="5"/>
      <c r="P177" s="4"/>
      <c r="Q177" s="4"/>
    </row>
    <row r="178" spans="1:17" x14ac:dyDescent="0.25">
      <c r="A178" s="14"/>
      <c r="B178" s="23">
        <f t="shared" ref="B178:B203" si="4">B177+1</f>
        <v>4</v>
      </c>
      <c r="C178" s="25">
        <v>3444</v>
      </c>
      <c r="D178" s="26">
        <v>3392</v>
      </c>
      <c r="E178" s="27">
        <f t="shared" si="1"/>
        <v>52</v>
      </c>
      <c r="F178" s="28"/>
      <c r="G178" s="25">
        <f t="shared" si="2"/>
        <v>3444</v>
      </c>
      <c r="H178" s="25">
        <f t="shared" si="3"/>
        <v>3398.7719999999999</v>
      </c>
      <c r="J178" s="30">
        <f t="shared" si="0"/>
        <v>-6.7719999999999345</v>
      </c>
      <c r="M178" s="2"/>
      <c r="N178" s="4"/>
      <c r="O178" s="5"/>
      <c r="P178" s="4"/>
      <c r="Q178" s="4"/>
    </row>
    <row r="179" spans="1:17" x14ac:dyDescent="0.25">
      <c r="A179" s="14"/>
      <c r="B179" s="24">
        <f t="shared" si="4"/>
        <v>5</v>
      </c>
      <c r="C179" s="25">
        <v>3322</v>
      </c>
      <c r="D179" s="31">
        <v>3272</v>
      </c>
      <c r="E179" s="27">
        <f t="shared" si="1"/>
        <v>50</v>
      </c>
      <c r="F179" s="28"/>
      <c r="G179" s="25">
        <f t="shared" si="2"/>
        <v>3322</v>
      </c>
      <c r="H179" s="25">
        <f t="shared" si="3"/>
        <v>3279.4559999999997</v>
      </c>
      <c r="J179" s="30">
        <f t="shared" si="0"/>
        <v>-7.4559999999996762</v>
      </c>
      <c r="M179" s="2"/>
      <c r="N179" s="4"/>
      <c r="O179" s="5"/>
      <c r="P179" s="4"/>
      <c r="Q179" s="4"/>
    </row>
    <row r="180" spans="1:17" x14ac:dyDescent="0.25">
      <c r="A180" s="14"/>
      <c r="B180" s="23">
        <f t="shared" si="4"/>
        <v>6</v>
      </c>
      <c r="C180" s="25">
        <v>3200</v>
      </c>
      <c r="D180" s="26">
        <v>3147</v>
      </c>
      <c r="E180" s="27">
        <f t="shared" si="1"/>
        <v>53</v>
      </c>
      <c r="F180" s="28"/>
      <c r="G180" s="25">
        <f t="shared" si="2"/>
        <v>3200</v>
      </c>
      <c r="H180" s="25">
        <f t="shared" si="3"/>
        <v>3160.14</v>
      </c>
      <c r="J180" s="30">
        <f t="shared" si="0"/>
        <v>-13.139999999999873</v>
      </c>
      <c r="M180" s="2"/>
      <c r="N180" s="4"/>
      <c r="O180" s="5"/>
      <c r="P180" s="4"/>
      <c r="Q180" s="4"/>
    </row>
    <row r="181" spans="1:17" x14ac:dyDescent="0.25">
      <c r="A181" s="14"/>
      <c r="B181" s="24">
        <f t="shared" si="4"/>
        <v>7</v>
      </c>
      <c r="C181" s="25">
        <v>3078</v>
      </c>
      <c r="D181" s="31">
        <v>3027</v>
      </c>
      <c r="E181" s="27">
        <f t="shared" si="1"/>
        <v>51</v>
      </c>
      <c r="F181" s="28"/>
      <c r="G181" s="25">
        <f t="shared" si="2"/>
        <v>3078</v>
      </c>
      <c r="H181" s="25">
        <f t="shared" si="3"/>
        <v>3040.8240000000001</v>
      </c>
      <c r="J181" s="30">
        <f t="shared" si="0"/>
        <v>-13.824000000000069</v>
      </c>
      <c r="M181" s="2"/>
      <c r="N181" s="4"/>
      <c r="O181" s="5"/>
      <c r="P181" s="4"/>
      <c r="Q181" s="4"/>
    </row>
    <row r="182" spans="1:17" x14ac:dyDescent="0.25">
      <c r="A182" s="14"/>
      <c r="B182" s="23">
        <f t="shared" si="4"/>
        <v>8</v>
      </c>
      <c r="C182" s="25">
        <v>2956</v>
      </c>
      <c r="D182" s="31">
        <v>2915</v>
      </c>
      <c r="E182" s="27">
        <f t="shared" si="1"/>
        <v>41</v>
      </c>
      <c r="F182" s="28"/>
      <c r="G182" s="25">
        <f t="shared" si="2"/>
        <v>2956</v>
      </c>
      <c r="H182" s="25">
        <f t="shared" si="3"/>
        <v>2921.5079999999998</v>
      </c>
      <c r="J182" s="30">
        <f t="shared" si="0"/>
        <v>-6.5079999999998108</v>
      </c>
      <c r="M182" s="2"/>
      <c r="N182" s="4"/>
      <c r="O182" s="5"/>
      <c r="P182" s="4"/>
      <c r="Q182" s="2"/>
    </row>
    <row r="183" spans="1:17" x14ac:dyDescent="0.25">
      <c r="A183" s="14"/>
      <c r="B183" s="24">
        <f t="shared" si="4"/>
        <v>9</v>
      </c>
      <c r="C183" s="25">
        <v>2834</v>
      </c>
      <c r="D183" s="31">
        <v>2808</v>
      </c>
      <c r="E183" s="27">
        <f t="shared" si="1"/>
        <v>26</v>
      </c>
      <c r="F183" s="28"/>
      <c r="G183" s="25">
        <f t="shared" si="2"/>
        <v>2834</v>
      </c>
      <c r="H183" s="25">
        <f t="shared" si="3"/>
        <v>2802.192</v>
      </c>
      <c r="J183" s="30">
        <f t="shared" si="0"/>
        <v>5.8079999999999927</v>
      </c>
      <c r="M183" s="2"/>
      <c r="N183" s="4"/>
      <c r="O183" s="5"/>
      <c r="P183" s="4"/>
      <c r="Q183" s="2"/>
    </row>
    <row r="184" spans="1:17" x14ac:dyDescent="0.25">
      <c r="A184" s="14"/>
      <c r="B184" s="23">
        <f t="shared" si="4"/>
        <v>10</v>
      </c>
      <c r="C184" s="25">
        <v>2712</v>
      </c>
      <c r="D184" s="26">
        <v>2689</v>
      </c>
      <c r="E184" s="27">
        <f t="shared" si="1"/>
        <v>23</v>
      </c>
      <c r="F184" s="28"/>
      <c r="G184" s="25">
        <f t="shared" si="2"/>
        <v>2712</v>
      </c>
      <c r="H184" s="25">
        <f t="shared" si="3"/>
        <v>2682.8759999999997</v>
      </c>
      <c r="J184" s="30">
        <f t="shared" si="0"/>
        <v>6.124000000000251</v>
      </c>
      <c r="M184" s="2"/>
      <c r="N184" s="4"/>
      <c r="O184" s="5"/>
      <c r="P184" s="4"/>
    </row>
    <row r="185" spans="1:17" x14ac:dyDescent="0.25">
      <c r="A185" s="14"/>
      <c r="B185" s="24">
        <f t="shared" si="4"/>
        <v>11</v>
      </c>
      <c r="C185" s="25">
        <v>2590</v>
      </c>
      <c r="D185" s="31">
        <v>2571</v>
      </c>
      <c r="E185" s="27">
        <f t="shared" si="1"/>
        <v>19</v>
      </c>
      <c r="F185" s="28"/>
      <c r="G185" s="25">
        <f t="shared" si="2"/>
        <v>2590</v>
      </c>
      <c r="H185" s="25">
        <f t="shared" si="3"/>
        <v>2563.56</v>
      </c>
      <c r="J185" s="30">
        <f t="shared" si="0"/>
        <v>7.4400000000000546</v>
      </c>
      <c r="M185" s="2"/>
      <c r="N185" s="4"/>
      <c r="O185" s="5"/>
      <c r="P185" s="4"/>
    </row>
    <row r="186" spans="1:17" x14ac:dyDescent="0.25">
      <c r="A186" s="14"/>
      <c r="B186" s="23">
        <f t="shared" si="4"/>
        <v>12</v>
      </c>
      <c r="C186" s="25">
        <v>2468</v>
      </c>
      <c r="D186" s="26">
        <v>2451</v>
      </c>
      <c r="E186" s="27">
        <f t="shared" si="1"/>
        <v>17</v>
      </c>
      <c r="F186" s="28"/>
      <c r="G186" s="25">
        <f t="shared" si="2"/>
        <v>2468</v>
      </c>
      <c r="H186" s="25">
        <f t="shared" si="3"/>
        <v>2444.2440000000001</v>
      </c>
      <c r="J186" s="30">
        <f t="shared" si="0"/>
        <v>6.7559999999998581</v>
      </c>
      <c r="M186" s="2"/>
      <c r="N186" s="4"/>
      <c r="O186" s="5"/>
      <c r="P186" s="4"/>
    </row>
    <row r="187" spans="1:17" x14ac:dyDescent="0.25">
      <c r="A187" s="14"/>
      <c r="B187" s="24">
        <f t="shared" si="4"/>
        <v>13</v>
      </c>
      <c r="C187" s="25">
        <v>2346</v>
      </c>
      <c r="D187" s="31">
        <v>2330</v>
      </c>
      <c r="E187" s="27">
        <f t="shared" si="1"/>
        <v>16</v>
      </c>
      <c r="F187" s="28"/>
      <c r="G187" s="25">
        <f t="shared" si="2"/>
        <v>2346</v>
      </c>
      <c r="H187" s="25">
        <f t="shared" si="3"/>
        <v>2324.9279999999999</v>
      </c>
      <c r="J187" s="30">
        <f t="shared" si="0"/>
        <v>5.0720000000001164</v>
      </c>
      <c r="M187" s="2"/>
      <c r="N187" s="4"/>
      <c r="O187" s="5"/>
      <c r="P187" s="4"/>
    </row>
    <row r="188" spans="1:17" x14ac:dyDescent="0.25">
      <c r="A188" s="14"/>
      <c r="B188" s="23">
        <f t="shared" si="4"/>
        <v>14</v>
      </c>
      <c r="C188" s="25">
        <v>2225</v>
      </c>
      <c r="D188" s="26">
        <v>2206</v>
      </c>
      <c r="E188" s="27">
        <f t="shared" si="1"/>
        <v>19</v>
      </c>
      <c r="F188" s="28"/>
      <c r="G188" s="25">
        <f t="shared" si="2"/>
        <v>2225</v>
      </c>
      <c r="H188" s="25">
        <f t="shared" si="3"/>
        <v>2206.59</v>
      </c>
      <c r="J188" s="30">
        <f t="shared" si="0"/>
        <v>-0.59000000000014552</v>
      </c>
      <c r="M188" s="2"/>
      <c r="N188" s="4"/>
      <c r="O188" s="5"/>
      <c r="P188" s="4"/>
    </row>
    <row r="189" spans="1:17" x14ac:dyDescent="0.25">
      <c r="A189" s="14"/>
      <c r="B189" s="24">
        <f t="shared" si="4"/>
        <v>15</v>
      </c>
      <c r="C189" s="25">
        <v>2103</v>
      </c>
      <c r="D189" s="31">
        <v>2092</v>
      </c>
      <c r="E189" s="27">
        <f t="shared" si="1"/>
        <v>11</v>
      </c>
      <c r="F189" s="28"/>
      <c r="G189" s="25">
        <f t="shared" si="2"/>
        <v>2103</v>
      </c>
      <c r="H189" s="25">
        <f t="shared" si="3"/>
        <v>2087.2739999999999</v>
      </c>
      <c r="I189" s="29"/>
      <c r="J189" s="30">
        <f t="shared" si="0"/>
        <v>4.7260000000001128</v>
      </c>
      <c r="M189" s="2"/>
      <c r="N189" s="4"/>
      <c r="O189" s="5"/>
      <c r="P189" s="4"/>
    </row>
    <row r="190" spans="1:17" x14ac:dyDescent="0.25">
      <c r="A190" s="14"/>
      <c r="B190" s="23">
        <f t="shared" si="4"/>
        <v>16</v>
      </c>
      <c r="C190" s="25">
        <v>1981</v>
      </c>
      <c r="D190" s="26">
        <v>1983</v>
      </c>
      <c r="E190" s="27">
        <f t="shared" si="1"/>
        <v>-2</v>
      </c>
      <c r="F190" s="28"/>
      <c r="G190" s="25">
        <f t="shared" si="2"/>
        <v>1981</v>
      </c>
      <c r="H190" s="25">
        <f t="shared" si="3"/>
        <v>1967.9579999999999</v>
      </c>
      <c r="I190" s="29"/>
      <c r="J190" s="30">
        <f t="shared" si="0"/>
        <v>15.042000000000144</v>
      </c>
      <c r="M190" s="2"/>
      <c r="N190" s="4"/>
      <c r="O190" s="5"/>
      <c r="P190" s="4"/>
    </row>
    <row r="191" spans="1:17" x14ac:dyDescent="0.25">
      <c r="A191" s="14"/>
      <c r="B191" s="24">
        <f t="shared" si="4"/>
        <v>17</v>
      </c>
      <c r="C191" s="25">
        <v>1859</v>
      </c>
      <c r="D191" s="31">
        <v>1862</v>
      </c>
      <c r="E191" s="27">
        <f t="shared" si="1"/>
        <v>-3</v>
      </c>
      <c r="F191" s="28"/>
      <c r="G191" s="25">
        <f t="shared" si="2"/>
        <v>1859</v>
      </c>
      <c r="H191" s="25">
        <f t="shared" si="3"/>
        <v>1848.6419999999998</v>
      </c>
      <c r="I191" s="29"/>
      <c r="J191" s="30">
        <f t="shared" si="0"/>
        <v>13.358000000000175</v>
      </c>
      <c r="M191" s="2"/>
      <c r="N191" s="4"/>
      <c r="O191" s="5"/>
      <c r="P191" s="4"/>
    </row>
    <row r="192" spans="1:17" x14ac:dyDescent="0.25">
      <c r="A192" s="14"/>
      <c r="B192" s="23">
        <f t="shared" si="4"/>
        <v>18</v>
      </c>
      <c r="C192" s="25">
        <v>1737</v>
      </c>
      <c r="D192" s="31">
        <v>1739</v>
      </c>
      <c r="E192" s="27">
        <f t="shared" si="1"/>
        <v>-2</v>
      </c>
      <c r="F192" s="28"/>
      <c r="G192" s="25">
        <f t="shared" si="2"/>
        <v>1737</v>
      </c>
      <c r="H192" s="25">
        <f t="shared" si="3"/>
        <v>1729.326</v>
      </c>
      <c r="I192" s="29"/>
      <c r="J192" s="30">
        <f t="shared" si="0"/>
        <v>9.6739999999999782</v>
      </c>
      <c r="M192" s="2"/>
      <c r="N192" s="4"/>
      <c r="O192" s="5"/>
      <c r="P192" s="4"/>
    </row>
    <row r="193" spans="1:16" x14ac:dyDescent="0.25">
      <c r="A193" s="14"/>
      <c r="B193" s="24">
        <f t="shared" si="4"/>
        <v>19</v>
      </c>
      <c r="C193" s="25">
        <v>1615</v>
      </c>
      <c r="D193" s="31">
        <v>1616</v>
      </c>
      <c r="E193" s="27">
        <f t="shared" si="1"/>
        <v>-1</v>
      </c>
      <c r="F193" s="28"/>
      <c r="G193" s="25">
        <f t="shared" si="2"/>
        <v>1615</v>
      </c>
      <c r="H193" s="25">
        <f t="shared" si="3"/>
        <v>1610.01</v>
      </c>
      <c r="I193" s="29"/>
      <c r="J193" s="30">
        <f t="shared" si="0"/>
        <v>5.9900000000000091</v>
      </c>
      <c r="M193" s="2"/>
      <c r="N193" s="4"/>
      <c r="O193" s="5"/>
      <c r="P193" s="4"/>
    </row>
    <row r="194" spans="1:16" x14ac:dyDescent="0.25">
      <c r="A194" s="14"/>
      <c r="B194" s="23">
        <f t="shared" si="4"/>
        <v>20</v>
      </c>
      <c r="C194" s="25">
        <v>1493</v>
      </c>
      <c r="D194" s="26">
        <v>1493</v>
      </c>
      <c r="E194" s="27">
        <f t="shared" si="1"/>
        <v>0</v>
      </c>
      <c r="F194" s="28"/>
      <c r="G194" s="25">
        <f t="shared" si="2"/>
        <v>1493</v>
      </c>
      <c r="H194" s="25">
        <f t="shared" si="3"/>
        <v>1490.694</v>
      </c>
      <c r="I194" s="29"/>
      <c r="J194" s="30">
        <f t="shared" si="0"/>
        <v>2.30600000000004</v>
      </c>
      <c r="M194" s="2"/>
      <c r="N194" s="4"/>
      <c r="O194" s="5"/>
      <c r="P194" s="4"/>
    </row>
    <row r="195" spans="1:16" x14ac:dyDescent="0.25">
      <c r="A195" s="14"/>
      <c r="B195" s="24">
        <f t="shared" si="4"/>
        <v>21</v>
      </c>
      <c r="C195" s="25">
        <v>1371</v>
      </c>
      <c r="D195" s="31">
        <v>1373</v>
      </c>
      <c r="E195" s="27">
        <f t="shared" si="1"/>
        <v>-2</v>
      </c>
      <c r="F195" s="28"/>
      <c r="G195" s="25">
        <f t="shared" si="2"/>
        <v>1371</v>
      </c>
      <c r="H195" s="25">
        <f t="shared" si="3"/>
        <v>1371.3779999999999</v>
      </c>
      <c r="I195" s="29"/>
      <c r="J195" s="30">
        <f t="shared" si="0"/>
        <v>1.6220000000000709</v>
      </c>
      <c r="M195" s="2"/>
      <c r="N195" s="4"/>
      <c r="O195" s="5"/>
      <c r="P195" s="4"/>
    </row>
    <row r="196" spans="1:16" x14ac:dyDescent="0.25">
      <c r="A196" s="14"/>
      <c r="B196" s="23">
        <f t="shared" si="4"/>
        <v>22</v>
      </c>
      <c r="C196" s="25">
        <v>1249</v>
      </c>
      <c r="D196" s="26">
        <v>1250</v>
      </c>
      <c r="E196" s="27">
        <f t="shared" si="1"/>
        <v>-1</v>
      </c>
      <c r="F196" s="28"/>
      <c r="G196" s="25">
        <f t="shared" si="2"/>
        <v>1249</v>
      </c>
      <c r="H196" s="25">
        <f t="shared" si="3"/>
        <v>1252.0619999999999</v>
      </c>
      <c r="I196" s="29"/>
      <c r="J196" s="30">
        <f t="shared" si="0"/>
        <v>-2.0619999999998981</v>
      </c>
      <c r="M196" s="2"/>
      <c r="N196" s="4"/>
      <c r="O196" s="5"/>
      <c r="P196" s="4"/>
    </row>
    <row r="197" spans="1:16" x14ac:dyDescent="0.25">
      <c r="A197" s="14"/>
      <c r="B197" s="24">
        <f t="shared" si="4"/>
        <v>23</v>
      </c>
      <c r="C197" s="25">
        <v>1127</v>
      </c>
      <c r="D197" s="31">
        <v>1128</v>
      </c>
      <c r="E197" s="27">
        <f t="shared" si="1"/>
        <v>-1</v>
      </c>
      <c r="F197" s="28"/>
      <c r="G197" s="25">
        <f t="shared" si="2"/>
        <v>1127</v>
      </c>
      <c r="H197" s="25">
        <f t="shared" si="3"/>
        <v>1132.7459999999999</v>
      </c>
      <c r="I197" s="29"/>
      <c r="J197" s="30">
        <f t="shared" si="0"/>
        <v>-4.7459999999998672</v>
      </c>
      <c r="M197" s="2"/>
      <c r="N197" s="4"/>
      <c r="O197" s="5"/>
      <c r="P197" s="4"/>
    </row>
    <row r="198" spans="1:16" x14ac:dyDescent="0.25">
      <c r="A198" s="14"/>
      <c r="B198" s="23">
        <f t="shared" si="4"/>
        <v>24</v>
      </c>
      <c r="C198" s="25">
        <v>1005</v>
      </c>
      <c r="D198" s="26">
        <v>1009</v>
      </c>
      <c r="E198" s="27">
        <f t="shared" si="1"/>
        <v>-4</v>
      </c>
      <c r="F198" s="28"/>
      <c r="G198" s="25">
        <f t="shared" si="2"/>
        <v>1005</v>
      </c>
      <c r="H198" s="25">
        <f t="shared" si="3"/>
        <v>1013.43</v>
      </c>
      <c r="I198" s="29"/>
      <c r="J198" s="30">
        <f t="shared" si="0"/>
        <v>-4.42999999999995</v>
      </c>
      <c r="M198" s="2"/>
      <c r="N198" s="2"/>
      <c r="O198" s="2"/>
      <c r="P198" s="2"/>
    </row>
    <row r="199" spans="1:16" x14ac:dyDescent="0.25">
      <c r="A199" s="14"/>
      <c r="B199" s="24">
        <f t="shared" si="4"/>
        <v>25</v>
      </c>
      <c r="C199" s="25">
        <v>883</v>
      </c>
      <c r="D199" s="31">
        <v>892</v>
      </c>
      <c r="E199" s="27">
        <f t="shared" si="1"/>
        <v>-9</v>
      </c>
      <c r="F199" s="28"/>
      <c r="G199" s="25">
        <f t="shared" si="2"/>
        <v>883</v>
      </c>
      <c r="H199" s="25">
        <f t="shared" si="3"/>
        <v>894.11399999999992</v>
      </c>
      <c r="I199" s="29"/>
      <c r="J199" s="30">
        <f t="shared" si="0"/>
        <v>-2.1139999999999191</v>
      </c>
      <c r="M199" s="2"/>
      <c r="N199" s="2"/>
      <c r="O199" s="2"/>
      <c r="P199" s="2"/>
    </row>
    <row r="200" spans="1:16" x14ac:dyDescent="0.25">
      <c r="A200" s="14"/>
      <c r="B200" s="23">
        <f t="shared" si="4"/>
        <v>26</v>
      </c>
      <c r="C200" s="25">
        <v>761</v>
      </c>
      <c r="D200" s="26">
        <v>775</v>
      </c>
      <c r="E200" s="27">
        <f t="shared" si="1"/>
        <v>-14</v>
      </c>
      <c r="F200" s="28"/>
      <c r="G200" s="25">
        <f t="shared" si="2"/>
        <v>761</v>
      </c>
      <c r="H200" s="25">
        <f t="shared" si="3"/>
        <v>774.798</v>
      </c>
      <c r="I200" s="29"/>
      <c r="J200" s="30">
        <f t="shared" si="0"/>
        <v>0.20199999999999818</v>
      </c>
      <c r="M200" s="2"/>
    </row>
    <row r="201" spans="1:16" x14ac:dyDescent="0.25">
      <c r="A201" s="14"/>
      <c r="B201" s="24">
        <f t="shared" si="4"/>
        <v>27</v>
      </c>
      <c r="C201" s="25">
        <v>639</v>
      </c>
      <c r="D201" s="31">
        <v>655</v>
      </c>
      <c r="E201" s="27">
        <f t="shared" si="1"/>
        <v>-16</v>
      </c>
      <c r="F201" s="28"/>
      <c r="G201" s="25">
        <f t="shared" si="2"/>
        <v>639</v>
      </c>
      <c r="H201" s="25">
        <f t="shared" si="3"/>
        <v>655.48199999999997</v>
      </c>
      <c r="I201" s="29"/>
      <c r="J201" s="30">
        <f t="shared" si="0"/>
        <v>-0.4819999999999709</v>
      </c>
      <c r="M201" s="2"/>
    </row>
    <row r="202" spans="1:16" x14ac:dyDescent="0.25">
      <c r="A202" s="14"/>
      <c r="B202" s="23">
        <f t="shared" si="4"/>
        <v>28</v>
      </c>
      <c r="C202" s="25">
        <v>517</v>
      </c>
      <c r="D202" s="26">
        <v>531</v>
      </c>
      <c r="E202" s="27">
        <f t="shared" si="1"/>
        <v>-14</v>
      </c>
      <c r="F202" s="28"/>
      <c r="G202" s="25">
        <f t="shared" si="2"/>
        <v>517</v>
      </c>
      <c r="H202" s="25">
        <f t="shared" si="3"/>
        <v>536.16599999999994</v>
      </c>
      <c r="I202" s="29"/>
      <c r="J202" s="30">
        <f t="shared" si="0"/>
        <v>-5.16599999999994</v>
      </c>
      <c r="M202" s="2"/>
    </row>
    <row r="203" spans="1:16" x14ac:dyDescent="0.25">
      <c r="A203" s="14"/>
      <c r="B203" s="24">
        <f t="shared" si="4"/>
        <v>29</v>
      </c>
      <c r="C203" s="25">
        <v>395</v>
      </c>
      <c r="D203" s="31">
        <v>411</v>
      </c>
      <c r="E203" s="27">
        <f t="shared" si="1"/>
        <v>-16</v>
      </c>
      <c r="F203" s="28"/>
      <c r="G203" s="25">
        <f t="shared" si="2"/>
        <v>395</v>
      </c>
      <c r="H203" s="25">
        <f t="shared" si="3"/>
        <v>416.85</v>
      </c>
      <c r="I203" s="29"/>
      <c r="J203" s="30">
        <f t="shared" si="0"/>
        <v>-5.8500000000000227</v>
      </c>
      <c r="M203" s="2"/>
    </row>
    <row r="204" spans="1:16" x14ac:dyDescent="0.25">
      <c r="B204" s="23">
        <f>B203+1</f>
        <v>30</v>
      </c>
      <c r="C204" s="25">
        <v>273</v>
      </c>
      <c r="D204" s="32">
        <v>289</v>
      </c>
      <c r="E204" s="27">
        <f t="shared" si="1"/>
        <v>-16</v>
      </c>
      <c r="F204" s="29"/>
      <c r="G204" s="25">
        <f>C204</f>
        <v>273</v>
      </c>
      <c r="H204" s="25">
        <f t="shared" si="3"/>
        <v>297.53399999999999</v>
      </c>
      <c r="I204" s="29"/>
      <c r="J204" s="30">
        <f t="shared" si="0"/>
        <v>-8.5339999999999918</v>
      </c>
      <c r="M204" s="2"/>
    </row>
    <row r="205" spans="1:16" x14ac:dyDescent="0.25">
      <c r="I205" s="29"/>
      <c r="M205" s="2"/>
    </row>
    <row r="206" spans="1:16" x14ac:dyDescent="0.25">
      <c r="B206" s="2"/>
      <c r="C206" s="2"/>
      <c r="D206" s="2"/>
      <c r="E206" s="2"/>
      <c r="F206" s="2"/>
      <c r="G206" s="2"/>
      <c r="H206" s="2"/>
      <c r="I206" s="29"/>
      <c r="M206" s="2"/>
    </row>
    <row r="207" spans="1:16" x14ac:dyDescent="0.25">
      <c r="B207" s="2"/>
      <c r="C207" s="2"/>
      <c r="D207" s="2"/>
      <c r="E207" s="2"/>
      <c r="F207" s="2"/>
      <c r="G207" s="2"/>
      <c r="H207" s="2"/>
      <c r="I207" s="29"/>
      <c r="M207" s="2"/>
    </row>
    <row r="208" spans="1:16" x14ac:dyDescent="0.25">
      <c r="B208" s="2"/>
      <c r="C208" s="2"/>
      <c r="D208" s="2"/>
      <c r="E208" s="2"/>
      <c r="F208" s="2"/>
      <c r="G208" s="2"/>
      <c r="H208" s="2"/>
      <c r="I208" s="29"/>
      <c r="M208" s="2"/>
    </row>
    <row r="209" spans="2:13" x14ac:dyDescent="0.25">
      <c r="B209" s="2"/>
      <c r="C209" s="2"/>
      <c r="D209" s="2"/>
      <c r="E209" s="2"/>
      <c r="F209" s="2"/>
      <c r="G209" s="2"/>
      <c r="H209" s="2"/>
      <c r="I209" s="29"/>
      <c r="M209" s="2"/>
    </row>
    <row r="210" spans="2:13" x14ac:dyDescent="0.25">
      <c r="B210" s="2"/>
      <c r="C210" s="2"/>
      <c r="D210" s="2"/>
      <c r="E210" s="2"/>
      <c r="F210" s="2"/>
      <c r="G210" s="2"/>
      <c r="H210" s="2"/>
      <c r="I210" s="29"/>
      <c r="M210" s="2"/>
    </row>
    <row r="211" spans="2:13" x14ac:dyDescent="0.25">
      <c r="B211" s="2"/>
      <c r="C211" s="22"/>
      <c r="D211" s="2"/>
      <c r="E211" s="2"/>
      <c r="F211" s="2"/>
      <c r="G211" s="22"/>
      <c r="H211" s="2"/>
      <c r="I211" s="29"/>
      <c r="M211" s="2"/>
    </row>
    <row r="212" spans="2:13" x14ac:dyDescent="0.25">
      <c r="B212" s="2"/>
      <c r="C212" s="2"/>
      <c r="D212" s="2"/>
      <c r="E212" s="2"/>
      <c r="F212" s="2"/>
      <c r="G212" s="2"/>
      <c r="H212" s="2"/>
      <c r="I212" s="29"/>
      <c r="M212" s="2"/>
    </row>
    <row r="213" spans="2:13" x14ac:dyDescent="0.25">
      <c r="B213" s="2"/>
      <c r="C213" s="2"/>
      <c r="D213" s="2"/>
      <c r="E213" s="2"/>
      <c r="F213" s="2"/>
      <c r="G213" s="2"/>
      <c r="H213" s="2"/>
      <c r="I213" s="29"/>
      <c r="M213" s="2"/>
    </row>
    <row r="214" spans="2:13" x14ac:dyDescent="0.25">
      <c r="B214" s="2"/>
      <c r="C214" s="2"/>
      <c r="D214" s="2"/>
      <c r="E214" s="2"/>
      <c r="F214" s="2"/>
      <c r="G214" s="2"/>
      <c r="H214" s="2"/>
      <c r="I214" s="29"/>
      <c r="M214" s="2"/>
    </row>
    <row r="215" spans="2:13" x14ac:dyDescent="0.25">
      <c r="B215" s="2"/>
      <c r="C215" s="2"/>
      <c r="D215" s="2"/>
      <c r="E215" s="2"/>
      <c r="F215" s="2"/>
      <c r="G215" s="2"/>
      <c r="H215" s="2"/>
      <c r="I215" s="29"/>
      <c r="M215" s="2"/>
    </row>
    <row r="216" spans="2:13" x14ac:dyDescent="0.25">
      <c r="B216" s="2"/>
      <c r="C216" s="2"/>
      <c r="D216" s="2"/>
      <c r="E216" s="2"/>
      <c r="F216" s="2"/>
      <c r="G216" s="2"/>
      <c r="H216" s="2"/>
      <c r="I216" s="29"/>
      <c r="M216" s="2"/>
    </row>
    <row r="217" spans="2:13" x14ac:dyDescent="0.25">
      <c r="B217" s="2"/>
      <c r="C217" s="22"/>
      <c r="D217" s="2"/>
      <c r="E217" s="2"/>
      <c r="F217" s="2"/>
      <c r="G217" s="22"/>
      <c r="H217" s="2"/>
      <c r="I217" s="29"/>
      <c r="M217" s="2"/>
    </row>
    <row r="218" spans="2:13" x14ac:dyDescent="0.25">
      <c r="B218" s="2"/>
      <c r="C218" s="15"/>
      <c r="D218" s="2"/>
      <c r="E218" s="2"/>
      <c r="F218" s="2"/>
      <c r="G218" s="15"/>
      <c r="H218" s="2"/>
      <c r="I218" s="29"/>
    </row>
    <row r="219" spans="2:13" x14ac:dyDescent="0.25">
      <c r="B219" s="2"/>
      <c r="C219" s="2"/>
      <c r="D219" s="2"/>
      <c r="E219" s="2"/>
      <c r="F219" s="2"/>
      <c r="G219" s="2"/>
      <c r="H219" s="2"/>
      <c r="I219" s="29"/>
    </row>
    <row r="220" spans="2:13" x14ac:dyDescent="0.25">
      <c r="B220" s="2"/>
      <c r="C220" s="2"/>
      <c r="D220" s="2"/>
      <c r="E220" s="2"/>
      <c r="F220" s="2"/>
      <c r="G220" s="2"/>
      <c r="H220" s="2"/>
    </row>
    <row r="221" spans="2:13" x14ac:dyDescent="0.25">
      <c r="B221" s="2"/>
      <c r="C221" s="2"/>
      <c r="D221" s="2"/>
      <c r="E221" s="22"/>
      <c r="F221" s="2"/>
      <c r="G221" s="2"/>
      <c r="H221" s="2"/>
      <c r="I221" s="2"/>
      <c r="J221" s="17"/>
      <c r="K221" s="2"/>
      <c r="L221" s="2"/>
    </row>
    <row r="222" spans="2:13" x14ac:dyDescent="0.25">
      <c r="B222" s="2"/>
      <c r="C222" s="2"/>
      <c r="D222" s="2"/>
      <c r="E222" s="2"/>
      <c r="F222" s="2"/>
      <c r="G222" s="2"/>
      <c r="H222" s="2"/>
      <c r="I222" s="2"/>
      <c r="J222" s="17"/>
      <c r="K222" s="2"/>
      <c r="L222" s="2"/>
    </row>
    <row r="223" spans="2:13" x14ac:dyDescent="0.25">
      <c r="B223" s="2"/>
      <c r="C223" s="2"/>
      <c r="D223" s="2"/>
      <c r="E223" s="2"/>
      <c r="F223" s="2"/>
      <c r="G223" s="2"/>
      <c r="H223" s="2"/>
      <c r="I223" s="2"/>
      <c r="J223" s="17"/>
      <c r="K223" s="2"/>
      <c r="L223" s="2"/>
    </row>
    <row r="224" spans="2:13" x14ac:dyDescent="0.25">
      <c r="I224" s="2"/>
      <c r="J224" s="17"/>
      <c r="K224" s="2"/>
      <c r="L224" s="2"/>
    </row>
    <row r="225" spans="9:12" x14ac:dyDescent="0.25">
      <c r="I225" s="2"/>
      <c r="J225" s="17"/>
      <c r="K225" s="2"/>
      <c r="L225" s="2"/>
    </row>
    <row r="226" spans="9:12" x14ac:dyDescent="0.25">
      <c r="I226" s="2"/>
      <c r="J226" s="17"/>
      <c r="K226" s="22"/>
      <c r="L226" s="2"/>
    </row>
    <row r="227" spans="9:12" x14ac:dyDescent="0.25">
      <c r="I227" s="2"/>
      <c r="J227" s="17"/>
      <c r="K227" s="15"/>
      <c r="L227" s="2"/>
    </row>
    <row r="228" spans="9:12" x14ac:dyDescent="0.25">
      <c r="I228" s="2"/>
      <c r="J228" s="17"/>
      <c r="K228" s="2"/>
      <c r="L228" s="2"/>
    </row>
    <row r="229" spans="9:12" x14ac:dyDescent="0.25">
      <c r="J229"/>
    </row>
    <row r="230" spans="9:12" x14ac:dyDescent="0.25">
      <c r="J230"/>
    </row>
    <row r="231" spans="9:12" x14ac:dyDescent="0.25">
      <c r="J231"/>
    </row>
    <row r="232" spans="9:12" x14ac:dyDescent="0.25">
      <c r="J232"/>
    </row>
    <row r="233" spans="9:12" x14ac:dyDescent="0.25">
      <c r="J233"/>
    </row>
    <row r="234" spans="9:12" x14ac:dyDescent="0.25">
      <c r="J234"/>
    </row>
    <row r="235" spans="9:12" x14ac:dyDescent="0.25">
      <c r="J235"/>
    </row>
    <row r="236" spans="9:12" x14ac:dyDescent="0.25">
      <c r="J236"/>
    </row>
    <row r="237" spans="9:12" x14ac:dyDescent="0.25">
      <c r="J237"/>
    </row>
    <row r="238" spans="9:12" x14ac:dyDescent="0.25">
      <c r="J238"/>
    </row>
    <row r="239" spans="9:12" x14ac:dyDescent="0.25">
      <c r="J239"/>
    </row>
    <row r="240" spans="9:12" x14ac:dyDescent="0.25">
      <c r="J240"/>
    </row>
    <row r="241" spans="10:10" x14ac:dyDescent="0.25">
      <c r="J241"/>
    </row>
    <row r="242" spans="10:10" x14ac:dyDescent="0.25">
      <c r="J242"/>
    </row>
    <row r="243" spans="10:10" x14ac:dyDescent="0.25">
      <c r="J243"/>
    </row>
    <row r="244" spans="10:10" x14ac:dyDescent="0.25">
      <c r="J244"/>
    </row>
    <row r="245" spans="10:10" x14ac:dyDescent="0.25">
      <c r="J245"/>
    </row>
    <row r="246" spans="10:10" x14ac:dyDescent="0.25">
      <c r="J246"/>
    </row>
    <row r="247" spans="10:10" x14ac:dyDescent="0.25">
      <c r="J247"/>
    </row>
    <row r="248" spans="10:10" x14ac:dyDescent="0.25">
      <c r="J248"/>
    </row>
    <row r="249" spans="10:10" x14ac:dyDescent="0.25">
      <c r="J249"/>
    </row>
    <row r="250" spans="10:10" x14ac:dyDescent="0.25">
      <c r="J250"/>
    </row>
    <row r="251" spans="10:10" x14ac:dyDescent="0.25">
      <c r="J251"/>
    </row>
    <row r="252" spans="10:10" x14ac:dyDescent="0.25">
      <c r="J252"/>
    </row>
    <row r="253" spans="10:10" x14ac:dyDescent="0.25">
      <c r="J253"/>
    </row>
    <row r="254" spans="10:10" x14ac:dyDescent="0.25">
      <c r="J254"/>
    </row>
    <row r="255" spans="10:10" x14ac:dyDescent="0.25">
      <c r="J255"/>
    </row>
    <row r="256" spans="10:10" x14ac:dyDescent="0.25">
      <c r="J256"/>
    </row>
    <row r="257" spans="10:10" x14ac:dyDescent="0.25">
      <c r="J257"/>
    </row>
    <row r="258" spans="10:10" x14ac:dyDescent="0.25">
      <c r="J258"/>
    </row>
    <row r="259" spans="10:10" x14ac:dyDescent="0.25">
      <c r="J259"/>
    </row>
    <row r="260" spans="10:10" x14ac:dyDescent="0.25">
      <c r="J260"/>
    </row>
    <row r="261" spans="10:10" x14ac:dyDescent="0.25">
      <c r="J261"/>
    </row>
    <row r="262" spans="10:10" x14ac:dyDescent="0.25">
      <c r="J262"/>
    </row>
    <row r="263" spans="10:10" x14ac:dyDescent="0.25">
      <c r="J263"/>
    </row>
    <row r="264" spans="10:10" x14ac:dyDescent="0.25">
      <c r="J264"/>
    </row>
    <row r="265" spans="10:10" x14ac:dyDescent="0.25">
      <c r="J265"/>
    </row>
    <row r="266" spans="10:10" x14ac:dyDescent="0.25">
      <c r="J266"/>
    </row>
    <row r="267" spans="10:10" x14ac:dyDescent="0.25">
      <c r="J267"/>
    </row>
    <row r="268" spans="10:10" x14ac:dyDescent="0.25">
      <c r="J268"/>
    </row>
    <row r="269" spans="10:10" x14ac:dyDescent="0.25">
      <c r="J269"/>
    </row>
    <row r="270" spans="10:10" x14ac:dyDescent="0.25">
      <c r="J270"/>
    </row>
    <row r="271" spans="10:10" x14ac:dyDescent="0.25">
      <c r="J271"/>
    </row>
    <row r="272" spans="10:10" x14ac:dyDescent="0.25">
      <c r="J272"/>
    </row>
    <row r="273" spans="10:10" x14ac:dyDescent="0.25">
      <c r="J273"/>
    </row>
    <row r="274" spans="10:10" x14ac:dyDescent="0.25">
      <c r="J274"/>
    </row>
    <row r="275" spans="10:10" x14ac:dyDescent="0.25">
      <c r="J275"/>
    </row>
    <row r="276" spans="10:10" x14ac:dyDescent="0.25">
      <c r="J276"/>
    </row>
    <row r="277" spans="10:10" x14ac:dyDescent="0.25">
      <c r="J277"/>
    </row>
    <row r="278" spans="10:10" x14ac:dyDescent="0.25">
      <c r="J278"/>
    </row>
    <row r="279" spans="10:10" x14ac:dyDescent="0.25">
      <c r="J279"/>
    </row>
    <row r="280" spans="10:10" x14ac:dyDescent="0.25">
      <c r="J280"/>
    </row>
    <row r="281" spans="10:10" x14ac:dyDescent="0.25">
      <c r="J281"/>
    </row>
    <row r="282" spans="10:10" x14ac:dyDescent="0.25">
      <c r="J282"/>
    </row>
    <row r="283" spans="10:10" x14ac:dyDescent="0.25">
      <c r="J283"/>
    </row>
    <row r="284" spans="10:10" x14ac:dyDescent="0.25">
      <c r="J284"/>
    </row>
    <row r="285" spans="10:10" x14ac:dyDescent="0.25">
      <c r="J285"/>
    </row>
    <row r="286" spans="10:10" x14ac:dyDescent="0.25">
      <c r="J286"/>
    </row>
    <row r="287" spans="10:10" x14ac:dyDescent="0.25">
      <c r="J287"/>
    </row>
    <row r="288" spans="10:10" x14ac:dyDescent="0.25">
      <c r="J288"/>
    </row>
    <row r="289" spans="10:10" x14ac:dyDescent="0.25">
      <c r="J289"/>
    </row>
    <row r="290" spans="10:10" x14ac:dyDescent="0.25">
      <c r="J290"/>
    </row>
    <row r="291" spans="10:10" x14ac:dyDescent="0.25">
      <c r="J291"/>
    </row>
    <row r="292" spans="10:10" x14ac:dyDescent="0.25">
      <c r="J292"/>
    </row>
    <row r="293" spans="10:10" x14ac:dyDescent="0.25">
      <c r="J293"/>
    </row>
    <row r="294" spans="10:10" x14ac:dyDescent="0.25">
      <c r="J294"/>
    </row>
    <row r="295" spans="10:10" x14ac:dyDescent="0.25">
      <c r="J295"/>
    </row>
    <row r="296" spans="10:10" x14ac:dyDescent="0.25">
      <c r="J296"/>
    </row>
    <row r="297" spans="10:10" x14ac:dyDescent="0.25">
      <c r="J297"/>
    </row>
    <row r="298" spans="10:10" x14ac:dyDescent="0.25">
      <c r="J298"/>
    </row>
    <row r="299" spans="10:10" x14ac:dyDescent="0.25">
      <c r="J299"/>
    </row>
    <row r="300" spans="10:10" x14ac:dyDescent="0.25">
      <c r="J300"/>
    </row>
    <row r="301" spans="10:10" x14ac:dyDescent="0.25">
      <c r="J301"/>
    </row>
    <row r="302" spans="10:10" x14ac:dyDescent="0.25">
      <c r="J302"/>
    </row>
    <row r="303" spans="10:10" x14ac:dyDescent="0.25">
      <c r="J303"/>
    </row>
    <row r="304" spans="10:10" x14ac:dyDescent="0.25">
      <c r="J304"/>
    </row>
    <row r="305" spans="10:10" x14ac:dyDescent="0.25">
      <c r="J305"/>
    </row>
    <row r="306" spans="10:10" x14ac:dyDescent="0.25">
      <c r="J306"/>
    </row>
    <row r="307" spans="10:10" x14ac:dyDescent="0.25">
      <c r="J307"/>
    </row>
    <row r="308" spans="10:10" x14ac:dyDescent="0.25">
      <c r="J308"/>
    </row>
    <row r="309" spans="10:10" x14ac:dyDescent="0.25">
      <c r="J309"/>
    </row>
    <row r="310" spans="10:10" x14ac:dyDescent="0.25">
      <c r="J310"/>
    </row>
    <row r="311" spans="10:10" x14ac:dyDescent="0.25">
      <c r="J311"/>
    </row>
  </sheetData>
  <pageMargins left="0.7" right="0.7" top="0.75" bottom="0.75" header="0.3" footer="0.3"/>
  <pageSetup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GIOVANNY ANGLAS</dc:creator>
  <cp:lastModifiedBy>GIOVANNY ANGLAS</cp:lastModifiedBy>
  <dcterms:created xsi:type="dcterms:W3CDTF">2023-05-26T22:58:17Z</dcterms:created>
  <dcterms:modified xsi:type="dcterms:W3CDTF">2025-11-12T21:33:45Z</dcterms:modified>
</cp:coreProperties>
</file>